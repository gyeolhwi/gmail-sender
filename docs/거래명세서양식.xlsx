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자료입력" sheetId="1" r:id="rId5"/>
    <sheet state="visible" name="세금계산서양식" sheetId="2" r:id="rId6"/>
  </sheets>
  <definedNames/>
  <calcPr/>
</workbook>
</file>

<file path=xl/sharedStrings.xml><?xml version="1.0" encoding="utf-8"?>
<sst xmlns="http://schemas.openxmlformats.org/spreadsheetml/2006/main" count="122" uniqueCount="77">
  <si>
    <t>공급자</t>
  </si>
  <si>
    <t>공급받는자</t>
  </si>
  <si>
    <t>상호</t>
  </si>
  <si>
    <t>예시상사</t>
  </si>
  <si>
    <t>상호명</t>
  </si>
  <si>
    <t>사업자등록번호</t>
  </si>
  <si>
    <t>000-00-00000</t>
  </si>
  <si>
    <t>대표자성명</t>
  </si>
  <si>
    <t>홍길동</t>
  </si>
  <si>
    <t>주소</t>
  </si>
  <si>
    <t>서울특별시 ○○구 ○○대로 000, 0층</t>
  </si>
  <si>
    <t>사업장주소</t>
  </si>
  <si>
    <t>업태</t>
  </si>
  <si>
    <t>서비스</t>
  </si>
  <si>
    <t>사업 업태</t>
  </si>
  <si>
    <t>종목</t>
  </si>
  <si>
    <t>소프트웨어 개발 및 공급</t>
  </si>
  <si>
    <t>사업종목</t>
  </si>
  <si>
    <t>비고</t>
  </si>
  <si>
    <t>자료입력</t>
  </si>
  <si>
    <t>작성일,일시</t>
  </si>
  <si>
    <t>품목</t>
  </si>
  <si>
    <t>규격</t>
  </si>
  <si>
    <t>수량</t>
  </si>
  <si>
    <t>단가</t>
  </si>
  <si>
    <t>공급가액</t>
  </si>
  <si>
    <t>부가세</t>
  </si>
  <si>
    <t>발행금액</t>
  </si>
  <si>
    <t>품목 1</t>
  </si>
  <si>
    <t>예시품목1</t>
  </si>
  <si>
    <t>품목 2</t>
  </si>
  <si>
    <t>예시품목2</t>
  </si>
  <si>
    <t>품목 3</t>
  </si>
  <si>
    <t>품목 4</t>
  </si>
  <si>
    <t>합계금액</t>
  </si>
  <si>
    <t>사용자가 입력할 부분</t>
  </si>
  <si>
    <t>※ 부가세 별도 서식입니다.</t>
  </si>
  <si>
    <t>사용자가 입력을 하지않아도 되는부분</t>
  </si>
  <si>
    <t>거 래 명 세 서</t>
  </si>
  <si>
    <t>(</t>
  </si>
  <si>
    <t>)</t>
  </si>
  <si>
    <t>책   번   호</t>
  </si>
  <si>
    <t>권</t>
  </si>
  <si>
    <t>호</t>
  </si>
  <si>
    <t>보  관  용</t>
  </si>
  <si>
    <t>일 련 번 호</t>
  </si>
  <si>
    <t>공 급 자</t>
  </si>
  <si>
    <t>등록번호</t>
  </si>
  <si>
    <t>-</t>
  </si>
  <si>
    <t>상     호</t>
  </si>
  <si>
    <t>성명</t>
  </si>
  <si>
    <t>인</t>
  </si>
  <si>
    <t>(법인명)</t>
  </si>
  <si>
    <t>사 업 장</t>
  </si>
  <si>
    <t>주     소</t>
  </si>
  <si>
    <t>업     태</t>
  </si>
  <si>
    <t>작     성</t>
  </si>
  <si>
    <t>공      급      가      액</t>
  </si>
  <si>
    <t>세               액</t>
  </si>
  <si>
    <t>비      고</t>
  </si>
  <si>
    <t>년</t>
  </si>
  <si>
    <t>월</t>
  </si>
  <si>
    <t>일</t>
  </si>
  <si>
    <t>공란수</t>
  </si>
  <si>
    <t>백</t>
  </si>
  <si>
    <t>십</t>
  </si>
  <si>
    <t>억</t>
  </si>
  <si>
    <t>천</t>
  </si>
  <si>
    <t>만</t>
  </si>
  <si>
    <t>품          목</t>
  </si>
  <si>
    <t>단      가</t>
  </si>
  <si>
    <t>공  급  가  액</t>
  </si>
  <si>
    <t>세        액</t>
  </si>
  <si>
    <t>○○은행</t>
  </si>
  <si>
    <t xml:space="preserve">이 금액을 </t>
  </si>
  <si>
    <t>함</t>
  </si>
  <si>
    <t>000-00-000000  홍길동(예시상사)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</si>
</sst>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&quot;-&quot;m&quot;-&quot;d"/>
    <numFmt numFmtId="165" formatCode="#,##0_ "/>
    <numFmt numFmtId="166" formatCode="#,##0_);[Red]\(#,##0\)"/>
    <numFmt numFmtId="167" formatCode="mm&quot;월&quot;\ dd&quot;일&quot;"/>
    <numFmt numFmtId="168" formatCode="0;[Red]0"/>
  </numFmts>
  <fonts count="27">
    <font>
      <sz val="10.0"/>
      <color rgb="FF000000"/>
      <name val="Arial"/>
      <scheme val="minor"/>
    </font>
    <font>
      <b/>
      <u/>
      <sz val="16.0"/>
      <color rgb="FF0000FF"/>
      <name val="Gulim"/>
    </font>
    <font>
      <sz val="11.0"/>
      <color theme="1"/>
      <name val="Gulim"/>
    </font>
    <font>
      <b/>
      <sz val="14.0"/>
      <color theme="1"/>
      <name val="Gulim"/>
    </font>
    <font/>
    <font>
      <sz val="11.0"/>
      <color theme="1"/>
      <name val="Dotum"/>
    </font>
    <font>
      <color theme="1"/>
      <name val="Arial"/>
      <scheme val="minor"/>
    </font>
    <font>
      <b/>
      <sz val="11.0"/>
      <color theme="1"/>
      <name val="Dotum"/>
    </font>
    <font>
      <b/>
      <u/>
      <sz val="16.0"/>
      <color rgb="FFFF0000"/>
      <name val="Gulim"/>
    </font>
    <font>
      <sz val="10.0"/>
      <color rgb="FFFFFFFF"/>
      <name val="Gulim"/>
    </font>
    <font>
      <sz val="8.0"/>
      <color rgb="FF0000FF"/>
      <name val="Gulim"/>
    </font>
    <font>
      <sz val="10.0"/>
      <color rgb="FF0000FF"/>
      <name val="Gulim"/>
    </font>
    <font>
      <sz val="10.0"/>
      <color theme="1"/>
      <name val="Gulim"/>
    </font>
    <font>
      <sz val="10.0"/>
      <color rgb="FFFFFFFF"/>
      <name val="Batang"/>
    </font>
    <font>
      <b/>
      <sz val="22.0"/>
      <color rgb="FF0000FF"/>
      <name val="Gulim"/>
    </font>
    <font>
      <b/>
      <sz val="10.0"/>
      <color rgb="FF0000FF"/>
      <name val="Gulim"/>
    </font>
    <font>
      <sz val="9.0"/>
      <color rgb="FF0000FF"/>
      <name val="Gulim"/>
    </font>
    <font>
      <sz val="11.0"/>
      <color rgb="FF0000FF"/>
      <name val="Gulim"/>
    </font>
    <font>
      <b/>
      <sz val="12.0"/>
      <color theme="1"/>
      <name val="Batang"/>
    </font>
    <font>
      <sz val="9.0"/>
      <color theme="1"/>
      <name val="Batang"/>
    </font>
    <font>
      <sz val="8.0"/>
      <color rgb="FF3366FF"/>
      <name val="Gulim"/>
    </font>
    <font>
      <sz val="8.0"/>
      <color theme="1"/>
      <name val="Batang"/>
    </font>
    <font>
      <sz val="10.0"/>
      <color theme="1"/>
      <name val="Batang"/>
    </font>
    <font>
      <b/>
      <sz val="10.0"/>
      <color theme="1"/>
      <name val="Batang"/>
    </font>
    <font>
      <b/>
      <color theme="1"/>
      <name val="Batang"/>
    </font>
    <font>
      <sz val="8.0"/>
      <color rgb="FFFF0000"/>
      <name val="Gulim"/>
    </font>
    <font>
      <sz val="10.0"/>
      <color rgb="FFFF0000"/>
      <name val="Gulim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CCFF"/>
        <bgColor rgb="FF99CCFF"/>
      </patternFill>
    </fill>
    <fill>
      <patternFill patternType="solid">
        <fgColor rgb="FFCCFFCC"/>
        <bgColor rgb="FFCCFFCC"/>
      </patternFill>
    </fill>
  </fills>
  <borders count="76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/>
    </border>
    <border>
      <left style="medium">
        <color rgb="FF0000FF"/>
      </left>
      <top style="medium">
        <color rgb="FF0000FF"/>
      </top>
    </border>
    <border>
      <top style="medium">
        <color rgb="FF0000FF"/>
      </top>
    </border>
    <border>
      <left style="thin">
        <color rgb="FF0000FF"/>
      </left>
      <top style="medium">
        <color rgb="FF0000FF"/>
      </top>
      <bottom style="thin">
        <color rgb="FF0000FF"/>
      </bottom>
    </border>
    <border>
      <top style="medium">
        <color rgb="FF0000FF"/>
      </top>
      <bottom style="thin">
        <color rgb="FF0000FF"/>
      </bottom>
    </border>
    <border>
      <right style="thin">
        <color rgb="FF0000FF"/>
      </right>
      <top style="medium">
        <color rgb="FF0000FF"/>
      </top>
      <bottom style="thin">
        <color rgb="FF0000FF"/>
      </bottom>
    </border>
    <border>
      <right style="medium">
        <color rgb="FF0000FF"/>
      </right>
      <top style="medium">
        <color rgb="FF0000FF"/>
      </top>
      <bottom style="thin">
        <color rgb="FF0000FF"/>
      </bottom>
    </border>
    <border>
      <left style="medium">
        <color rgb="FF0000FF"/>
      </left>
    </border>
    <border>
      <bottom style="thin">
        <color rgb="FF0000FF"/>
      </bottom>
    </border>
    <border>
      <left style="thin">
        <color rgb="FF0000FF"/>
      </left>
      <top style="thin">
        <color rgb="FF0000FF"/>
      </top>
      <bottom style="medium">
        <color rgb="FF0000FF"/>
      </bottom>
    </border>
    <border>
      <top style="thin">
        <color rgb="FF0000FF"/>
      </top>
      <bottom style="medium">
        <color rgb="FF0000FF"/>
      </bottom>
    </border>
    <border>
      <right style="thin">
        <color rgb="FF0000FF"/>
      </right>
      <top style="thin">
        <color rgb="FF0000FF"/>
      </top>
      <bottom style="medium">
        <color rgb="FF0000FF"/>
      </bottom>
    </border>
    <border>
      <left style="thin">
        <color rgb="FF0000FF"/>
      </left>
      <right style="thin">
        <color rgb="FF0000FF"/>
      </right>
      <top style="thin">
        <color rgb="FF0000FF"/>
      </top>
    </border>
    <border>
      <left style="thin">
        <color rgb="FF0000FF"/>
      </left>
      <right style="medium">
        <color rgb="FF0000FF"/>
      </right>
      <top style="thin">
        <color rgb="FF0000FF"/>
      </top>
    </border>
    <border>
      <left style="medium">
        <color rgb="FF0000FF"/>
      </left>
      <right style="thin">
        <color rgb="FF0000FF"/>
      </right>
      <top style="thin">
        <color rgb="FF0000FF"/>
      </top>
    </border>
    <border>
      <left style="thin">
        <color rgb="FF0000FF"/>
      </left>
      <top style="thin">
        <color rgb="FF0000FF"/>
      </top>
    </border>
    <border>
      <top style="thin">
        <color rgb="FF0000FF"/>
      </top>
    </border>
    <border>
      <right style="thin">
        <color rgb="FF0000FF"/>
      </right>
      <top style="thin">
        <color rgb="FF0000FF"/>
      </top>
    </border>
    <border>
      <left style="medium">
        <color rgb="FF0000FF"/>
      </left>
      <right style="thin">
        <color rgb="FF0000FF"/>
      </right>
      <top style="medium">
        <color rgb="FF0000FF"/>
      </top>
    </border>
    <border>
      <left style="thin">
        <color rgb="FF0000FF"/>
      </left>
      <right style="thin">
        <color rgb="FF0000FF"/>
      </right>
      <top style="medium">
        <color rgb="FF0000FF"/>
      </top>
    </border>
    <border>
      <left style="thin">
        <color rgb="FF0000FF"/>
      </left>
      <right style="medium">
        <color rgb="FF0000FF"/>
      </right>
      <top style="medium">
        <color rgb="FF0000FF"/>
      </top>
    </border>
    <border>
      <left style="medium">
        <color rgb="FF0000FF"/>
      </left>
      <right style="thin">
        <color rgb="FF0000FF"/>
      </right>
    </border>
    <border>
      <left style="thin">
        <color rgb="FF0000FF"/>
      </left>
      <bottom style="thin">
        <color rgb="FF0000FF"/>
      </bottom>
    </border>
    <border>
      <right style="thin">
        <color rgb="FF0000FF"/>
      </right>
      <bottom style="thin">
        <color rgb="FF0000FF"/>
      </bottom>
    </border>
    <border>
      <left style="medium">
        <color rgb="FF0000FF"/>
      </left>
      <right style="thin">
        <color rgb="FF0000FF"/>
      </right>
      <bottom style="thin">
        <color rgb="FF0000FF"/>
      </bottom>
    </border>
    <border>
      <left style="thin">
        <color rgb="FF0000FF"/>
      </left>
      <right style="thin">
        <color rgb="FF0000FF"/>
      </right>
      <bottom style="thin">
        <color rgb="FF0000FF"/>
      </bottom>
    </border>
    <border>
      <left style="thin">
        <color rgb="FF0000FF"/>
      </left>
      <right style="medium">
        <color rgb="FF0000FF"/>
      </right>
      <bottom style="thin">
        <color rgb="FF0000FF"/>
      </bottom>
    </border>
    <border>
      <right style="thin">
        <color rgb="FF0000FF"/>
      </right>
    </border>
    <border>
      <left style="medium">
        <color rgb="FF0000FF"/>
      </left>
      <right style="thin">
        <color rgb="FF0000FF"/>
      </right>
      <bottom style="medium">
        <color rgb="FF0000FF"/>
      </bottom>
    </border>
    <border>
      <left style="thin">
        <color rgb="FF0000FF"/>
      </left>
      <right style="thin">
        <color rgb="FF0000FF"/>
      </right>
      <bottom style="medium">
        <color rgb="FF0000FF"/>
      </bottom>
    </border>
    <border>
      <left style="thin">
        <color rgb="FF0000FF"/>
      </left>
      <right style="medium">
        <color rgb="FF0000FF"/>
      </right>
      <bottom style="medium">
        <color rgb="FF0000FF"/>
      </bottom>
    </border>
    <border>
      <left style="medium">
        <color rgb="FF0000FF"/>
      </left>
      <top style="thin">
        <color rgb="FF0000FF"/>
      </top>
    </border>
    <border>
      <right style="medium">
        <color rgb="FF0000FF"/>
      </right>
      <top style="thin">
        <color rgb="FF0000FF"/>
      </top>
    </border>
    <border>
      <left style="thin">
        <color rgb="FF0000FF"/>
      </left>
      <top style="medium">
        <color rgb="FF0000FF"/>
      </top>
    </border>
    <border>
      <right style="thin">
        <color rgb="FF0000FF"/>
      </right>
      <top style="medium">
        <color rgb="FF0000FF"/>
      </top>
    </border>
    <border>
      <left style="thin">
        <color rgb="FF0000FF"/>
      </left>
      <right style="thin">
        <color rgb="FF0000FF"/>
      </right>
    </border>
    <border>
      <right style="medium">
        <color rgb="FF0000FF"/>
      </right>
    </border>
    <border>
      <left style="medium">
        <color rgb="FF0000FF"/>
      </left>
      <bottom style="medium">
        <color rgb="FF0000FF"/>
      </bottom>
    </border>
    <border>
      <bottom style="medium">
        <color rgb="FF0000FF"/>
      </bottom>
    </border>
    <border>
      <right style="thin">
        <color rgb="FF0000FF"/>
      </right>
      <bottom style="medium">
        <color rgb="FF0000FF"/>
      </bottom>
    </border>
    <border>
      <left style="thin">
        <color rgb="FF0000FF"/>
      </left>
      <bottom style="medium">
        <color rgb="FF0000FF"/>
      </bottom>
    </border>
    <border>
      <right style="medium">
        <color rgb="FF0000FF"/>
      </right>
      <bottom style="medium">
        <color rgb="FF0000FF"/>
      </bottom>
    </border>
    <border>
      <right style="medium">
        <color rgb="FF0000FF"/>
      </right>
      <bottom style="thin">
        <color rgb="FF0000FF"/>
      </bottom>
    </border>
    <border>
      <left style="medium">
        <color rgb="FF0000FF"/>
      </left>
      <top style="medium">
        <color rgb="FF0000FF"/>
      </top>
      <bottom style="thin">
        <color rgb="FF0000FF"/>
      </bottom>
    </border>
    <border>
      <left style="medium">
        <color rgb="FF0000FF"/>
      </left>
      <top style="thin">
        <color rgb="FF0000FF"/>
      </top>
      <bottom style="thin">
        <color rgb="FF0000FF"/>
      </bottom>
    </border>
    <border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top style="thin">
        <color rgb="FF0000FF"/>
      </top>
      <bottom style="thin">
        <color rgb="FF0000FF"/>
      </bottom>
    </border>
    <border>
      <left style="medium">
        <color rgb="FF0000FF"/>
      </left>
      <top style="thin">
        <color rgb="FF0000FF"/>
      </top>
      <bottom style="medium">
        <color rgb="FF0000FF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medium">
        <color rgb="FF0000FF"/>
      </bottom>
    </border>
    <border>
      <left style="medium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top style="thin">
        <color rgb="FF0000FF"/>
      </top>
      <bottom style="thin">
        <color rgb="FF0000FF"/>
      </bottom>
    </border>
    <border>
      <right style="medium">
        <color rgb="FF0000FF"/>
      </right>
      <top style="thin">
        <color rgb="FF0000FF"/>
      </top>
      <bottom style="thin">
        <color rgb="FF0000FF"/>
      </bottom>
    </border>
    <border>
      <bottom style="dotted">
        <color rgb="FF000000"/>
      </bottom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3" fillId="4" fontId="2" numFmtId="0" xfId="0" applyAlignment="1" applyBorder="1" applyFill="1" applyFont="1">
      <alignment vertical="center"/>
    </xf>
    <xf borderId="4" fillId="0" fontId="4" numFmtId="0" xfId="0" applyBorder="1" applyFont="1"/>
    <xf borderId="5" fillId="0" fontId="4" numFmtId="0" xfId="0" applyBorder="1" applyFont="1"/>
    <xf borderId="3" fillId="4" fontId="2" numFmtId="0" xfId="0" applyAlignment="1" applyBorder="1" applyFont="1">
      <alignment readingOrder="0" shrinkToFit="0" vertical="center" wrapText="1"/>
    </xf>
    <xf borderId="6" fillId="3" fontId="2" numFmtId="0" xfId="0" applyAlignment="1" applyBorder="1" applyFont="1">
      <alignment horizontal="center" vertical="center"/>
    </xf>
    <xf borderId="7" fillId="4" fontId="2" numFmtId="0" xfId="0" applyAlignment="1" applyBorder="1" applyFont="1">
      <alignment vertical="center"/>
    </xf>
    <xf borderId="8" fillId="0" fontId="4" numFmtId="0" xfId="0" applyBorder="1" applyFont="1"/>
    <xf borderId="9" fillId="0" fontId="4" numFmtId="0" xfId="0" applyBorder="1" applyFont="1"/>
    <xf borderId="7" fillId="4" fontId="2" numFmtId="0" xfId="0" applyAlignment="1" applyBorder="1" applyFont="1">
      <alignment readingOrder="0" vertical="center"/>
    </xf>
    <xf borderId="7" fillId="4" fontId="2" numFmtId="0" xfId="0" applyAlignment="1" applyBorder="1" applyFont="1">
      <alignment readingOrder="0" shrinkToFit="0" vertical="center" wrapText="1"/>
    </xf>
    <xf borderId="10" fillId="3" fontId="2" numFmtId="0" xfId="0" applyAlignment="1" applyBorder="1" applyFont="1">
      <alignment horizontal="center" vertical="center"/>
    </xf>
    <xf borderId="11" fillId="4" fontId="2" numFmtId="0" xfId="0" applyAlignment="1" applyBorder="1" applyFont="1">
      <alignment shrinkToFit="0" vertical="center" wrapText="1"/>
    </xf>
    <xf borderId="12" fillId="0" fontId="4" numFmtId="0" xfId="0" applyBorder="1" applyFont="1"/>
    <xf borderId="13" fillId="0" fontId="4" numFmtId="0" xfId="0" applyBorder="1" applyFont="1"/>
    <xf borderId="11" fillId="4" fontId="2" numFmtId="0" xfId="0" applyAlignment="1" applyBorder="1" applyFont="1">
      <alignment vertical="center"/>
    </xf>
    <xf borderId="3" fillId="4" fontId="2" numFmtId="164" xfId="0" applyAlignment="1" applyBorder="1" applyFont="1" applyNumberFormat="1">
      <alignment horizontal="center" readingOrder="0" vertical="center"/>
    </xf>
    <xf borderId="14" fillId="4" fontId="2" numFmtId="164" xfId="0" applyAlignment="1" applyBorder="1" applyFont="1" applyNumberFormat="1">
      <alignment horizontal="center" vertical="center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7" fillId="3" fontId="2" numFmtId="0" xfId="0" applyAlignment="1" applyBorder="1" applyFont="1">
      <alignment horizontal="center" vertical="center"/>
    </xf>
    <xf borderId="18" fillId="3" fontId="2" numFmtId="0" xfId="0" applyAlignment="1" applyBorder="1" applyFont="1">
      <alignment horizontal="center" vertical="center"/>
    </xf>
    <xf borderId="17" fillId="4" fontId="2" numFmtId="0" xfId="0" applyAlignment="1" applyBorder="1" applyFont="1">
      <alignment readingOrder="0" vertical="center"/>
    </xf>
    <xf borderId="17" fillId="4" fontId="2" numFmtId="165" xfId="0" applyAlignment="1" applyBorder="1" applyFont="1" applyNumberFormat="1">
      <alignment readingOrder="0" vertical="center"/>
    </xf>
    <xf borderId="17" fillId="4" fontId="2" numFmtId="166" xfId="0" applyAlignment="1" applyBorder="1" applyFont="1" applyNumberFormat="1">
      <alignment readingOrder="0" vertical="center"/>
    </xf>
    <xf borderId="17" fillId="3" fontId="2" numFmtId="166" xfId="0" applyAlignment="1" applyBorder="1" applyFont="1" applyNumberFormat="1">
      <alignment vertical="center"/>
    </xf>
    <xf borderId="18" fillId="3" fontId="2" numFmtId="166" xfId="0" applyAlignment="1" applyBorder="1" applyFont="1" applyNumberFormat="1">
      <alignment vertical="center"/>
    </xf>
    <xf borderId="17" fillId="4" fontId="2" numFmtId="167" xfId="0" applyAlignment="1" applyBorder="1" applyFont="1" applyNumberFormat="1">
      <alignment vertical="center"/>
    </xf>
    <xf borderId="17" fillId="4" fontId="2" numFmtId="165" xfId="0" applyAlignment="1" applyBorder="1" applyFont="1" applyNumberFormat="1">
      <alignment vertical="center"/>
    </xf>
    <xf borderId="17" fillId="4" fontId="2" numFmtId="166" xfId="0" applyAlignment="1" applyBorder="1" applyFont="1" applyNumberFormat="1">
      <alignment vertical="center"/>
    </xf>
    <xf borderId="19" fillId="3" fontId="2" numFmtId="0" xfId="0" applyAlignment="1" applyBorder="1" applyFont="1">
      <alignment vertical="center"/>
    </xf>
    <xf borderId="19" fillId="3" fontId="2" numFmtId="166" xfId="0" applyAlignment="1" applyBorder="1" applyFont="1" applyNumberFormat="1">
      <alignment vertical="center"/>
    </xf>
    <xf borderId="20" fillId="3" fontId="2" numFmtId="166" xfId="0" applyAlignment="1" applyBorder="1" applyFont="1" applyNumberFormat="1">
      <alignment vertical="center"/>
    </xf>
    <xf borderId="21" fillId="4" fontId="2" numFmtId="0" xfId="0" applyAlignment="1" applyBorder="1" applyFont="1">
      <alignment vertical="center"/>
    </xf>
    <xf borderId="17" fillId="4" fontId="5" numFmtId="0" xfId="0" applyAlignment="1" applyBorder="1" applyFont="1">
      <alignment vertical="center"/>
    </xf>
    <xf borderId="0" fillId="0" fontId="6" numFmtId="0" xfId="0" applyFont="1"/>
    <xf borderId="17" fillId="3" fontId="5" numFmtId="0" xfId="0" applyAlignment="1" applyBorder="1" applyFont="1">
      <alignment vertical="center"/>
    </xf>
    <xf borderId="0" fillId="0" fontId="5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5" numFmtId="165" xfId="0" applyAlignment="1" applyFont="1" applyNumberFormat="1">
      <alignment vertical="center"/>
    </xf>
    <xf borderId="0" fillId="0" fontId="5" numFmtId="0" xfId="0" applyAlignment="1" applyFont="1">
      <alignment shrinkToFit="0" vertical="top" wrapText="1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0" fillId="0" fontId="12" numFmtId="0" xfId="0" applyAlignment="1" applyFont="1">
      <alignment horizontal="left" vertical="center"/>
    </xf>
    <xf borderId="0" fillId="0" fontId="13" numFmtId="166" xfId="0" applyAlignment="1" applyFont="1" applyNumberFormat="1">
      <alignment vertical="center"/>
    </xf>
    <xf borderId="0" fillId="0" fontId="12" numFmtId="0" xfId="0" applyAlignment="1" applyFont="1">
      <alignment vertical="center"/>
    </xf>
    <xf borderId="0" fillId="0" fontId="14" numFmtId="0" xfId="0" applyAlignment="1" applyFont="1">
      <alignment horizontal="center" vertical="center"/>
    </xf>
    <xf borderId="22" fillId="0" fontId="14" numFmtId="0" xfId="0" applyAlignment="1" applyBorder="1" applyFont="1">
      <alignment horizontal="center" vertical="center"/>
    </xf>
    <xf borderId="23" fillId="0" fontId="4" numFmtId="0" xfId="0" applyBorder="1" applyFont="1"/>
    <xf borderId="23" fillId="0" fontId="15" numFmtId="0" xfId="0" applyAlignment="1" applyBorder="1" applyFont="1">
      <alignment horizontal="center" vertical="center"/>
    </xf>
    <xf borderId="24" fillId="0" fontId="16" numFmtId="0" xfId="0" applyAlignment="1" applyBorder="1" applyFont="1">
      <alignment horizontal="center" vertical="center"/>
    </xf>
    <xf borderId="25" fillId="0" fontId="4" numFmtId="0" xfId="0" applyBorder="1" applyFont="1"/>
    <xf borderId="26" fillId="0" fontId="4" numFmtId="0" xfId="0" applyBorder="1" applyFont="1"/>
    <xf borderId="24" fillId="0" fontId="12" numFmtId="0" xfId="0" applyAlignment="1" applyBorder="1" applyFont="1">
      <alignment horizontal="center" vertical="center"/>
    </xf>
    <xf borderId="25" fillId="0" fontId="11" numFmtId="0" xfId="0" applyAlignment="1" applyBorder="1" applyFont="1">
      <alignment horizontal="right" vertical="center"/>
    </xf>
    <xf borderId="26" fillId="0" fontId="11" numFmtId="0" xfId="0" applyAlignment="1" applyBorder="1" applyFont="1">
      <alignment horizontal="center" vertical="center"/>
    </xf>
    <xf borderId="25" fillId="0" fontId="12" numFmtId="0" xfId="0" applyAlignment="1" applyBorder="1" applyFont="1">
      <alignment horizontal="center" vertical="center"/>
    </xf>
    <xf borderId="27" fillId="0" fontId="11" numFmtId="0" xfId="0" applyAlignment="1" applyBorder="1" applyFont="1">
      <alignment horizontal="right" vertical="center"/>
    </xf>
    <xf borderId="28" fillId="0" fontId="4" numFmtId="0" xfId="0" applyBorder="1" applyFont="1"/>
    <xf borderId="29" fillId="0" fontId="15" numFmtId="0" xfId="0" applyAlignment="1" applyBorder="1" applyFont="1">
      <alignment horizontal="center" vertical="center"/>
    </xf>
    <xf borderId="29" fillId="0" fontId="4" numFmtId="0" xfId="0" applyBorder="1" applyFont="1"/>
    <xf borderId="30" fillId="0" fontId="16" numFmtId="0" xfId="0" applyAlignment="1" applyBorder="1" applyFont="1">
      <alignment horizontal="center" vertical="center"/>
    </xf>
    <xf borderId="31" fillId="0" fontId="4" numFmtId="0" xfId="0" applyBorder="1" applyFont="1"/>
    <xf borderId="32" fillId="0" fontId="4" numFmtId="0" xfId="0" applyBorder="1" applyFont="1"/>
    <xf borderId="33" fillId="0" fontId="12" numFmtId="0" xfId="0" applyAlignment="1" applyBorder="1" applyFont="1">
      <alignment horizontal="left" vertical="center"/>
    </xf>
    <xf borderId="33" fillId="0" fontId="11" numFmtId="0" xfId="0" applyAlignment="1" applyBorder="1" applyFont="1">
      <alignment horizontal="left" vertical="center"/>
    </xf>
    <xf borderId="34" fillId="0" fontId="12" numFmtId="0" xfId="0" applyAlignment="1" applyBorder="1" applyFont="1">
      <alignment horizontal="left" vertical="center"/>
    </xf>
    <xf borderId="0" fillId="0" fontId="17" numFmtId="0" xfId="0" applyAlignment="1" applyFont="1">
      <alignment horizontal="center" textRotation="255" vertical="center"/>
    </xf>
    <xf borderId="35" fillId="0" fontId="17" numFmtId="0" xfId="0" applyAlignment="1" applyBorder="1" applyFont="1">
      <alignment horizontal="center" textRotation="255" vertical="center"/>
    </xf>
    <xf borderId="36" fillId="0" fontId="16" numFmtId="0" xfId="0" applyAlignment="1" applyBorder="1" applyFont="1">
      <alignment horizontal="center" vertical="center"/>
    </xf>
    <xf borderId="37" fillId="0" fontId="4" numFmtId="0" xfId="0" applyBorder="1" applyFont="1"/>
    <xf borderId="38" fillId="0" fontId="4" numFmtId="0" xfId="0" applyBorder="1" applyFont="1"/>
    <xf borderId="39" fillId="0" fontId="18" numFmtId="0" xfId="0" applyAlignment="1" applyBorder="1" applyFont="1">
      <alignment horizontal="center" vertical="center"/>
    </xf>
    <xf borderId="40" fillId="0" fontId="18" numFmtId="0" xfId="0" applyAlignment="1" applyBorder="1" applyFont="1">
      <alignment horizontal="center" vertical="center"/>
    </xf>
    <xf borderId="41" fillId="0" fontId="18" numFmtId="0" xfId="0" applyAlignment="1" applyBorder="1" applyFont="1">
      <alignment horizontal="center" vertical="center"/>
    </xf>
    <xf borderId="38" fillId="0" fontId="17" numFmtId="0" xfId="0" applyAlignment="1" applyBorder="1" applyFont="1">
      <alignment horizontal="center" textRotation="255" vertical="center"/>
    </xf>
    <xf borderId="42" fillId="0" fontId="4" numFmtId="0" xfId="0" applyBorder="1" applyFont="1"/>
    <xf borderId="43" fillId="0" fontId="4" numFmtId="0" xfId="0" applyBorder="1" applyFont="1"/>
    <xf borderId="44" fillId="0" fontId="4" numFmtId="0" xfId="0" applyBorder="1" applyFont="1"/>
    <xf borderId="45" fillId="0" fontId="4" numFmtId="0" xfId="0" applyBorder="1" applyFont="1"/>
    <xf borderId="46" fillId="0" fontId="4" numFmtId="0" xfId="0" applyBorder="1" applyFont="1"/>
    <xf borderId="47" fillId="0" fontId="4" numFmtId="0" xfId="0" applyBorder="1" applyFont="1"/>
    <xf borderId="48" fillId="0" fontId="4" numFmtId="0" xfId="0" applyBorder="1" applyFont="1"/>
    <xf borderId="49" fillId="0" fontId="4" numFmtId="0" xfId="0" applyBorder="1" applyFont="1"/>
    <xf borderId="50" fillId="0" fontId="4" numFmtId="0" xfId="0" applyBorder="1" applyFont="1"/>
    <xf borderId="51" fillId="0" fontId="4" numFmtId="0" xfId="0" applyBorder="1" applyFont="1"/>
    <xf borderId="52" fillId="0" fontId="19" numFmtId="0" xfId="0" applyAlignment="1" applyBorder="1" applyFont="1">
      <alignment horizontal="center" vertical="center"/>
    </xf>
    <xf borderId="33" fillId="0" fontId="11" numFmtId="0" xfId="0" applyAlignment="1" applyBorder="1" applyFont="1">
      <alignment horizontal="center" textRotation="255" vertical="center"/>
    </xf>
    <xf borderId="36" fillId="0" fontId="19" numFmtId="0" xfId="0" applyAlignment="1" applyBorder="1" applyFont="1">
      <alignment horizontal="center" vertical="center"/>
    </xf>
    <xf borderId="53" fillId="0" fontId="20" numFmtId="0" xfId="0" applyAlignment="1" applyBorder="1" applyFont="1">
      <alignment horizontal="center" vertical="center"/>
    </xf>
    <xf borderId="54" fillId="0" fontId="19" numFmtId="0" xfId="0" applyAlignment="1" applyBorder="1" applyFont="1">
      <alignment horizontal="center" shrinkToFit="1" vertical="center" wrapText="0"/>
    </xf>
    <xf borderId="55" fillId="0" fontId="4" numFmtId="0" xfId="0" applyBorder="1" applyFont="1"/>
    <xf borderId="56" fillId="0" fontId="11" numFmtId="0" xfId="0" applyAlignment="1" applyBorder="1" applyFont="1">
      <alignment horizontal="center" textRotation="255" vertical="center"/>
    </xf>
    <xf borderId="54" fillId="0" fontId="19" numFmtId="0" xfId="0" applyAlignment="1" applyBorder="1" applyFont="1">
      <alignment horizontal="center" shrinkToFit="0" vertical="center" wrapText="1"/>
    </xf>
    <xf borderId="57" fillId="0" fontId="20" numFmtId="0" xfId="0" applyAlignment="1" applyBorder="1" applyFont="1">
      <alignment horizontal="center" vertical="center"/>
    </xf>
    <xf borderId="43" fillId="0" fontId="16" numFmtId="0" xfId="0" applyAlignment="1" applyBorder="1" applyFont="1">
      <alignment horizontal="center" vertical="center"/>
    </xf>
    <xf borderId="58" fillId="0" fontId="4" numFmtId="0" xfId="0" applyBorder="1" applyFont="1"/>
    <xf borderId="59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62" fillId="0" fontId="4" numFmtId="0" xfId="0" applyBorder="1" applyFont="1"/>
    <xf borderId="63" fillId="0" fontId="4" numFmtId="0" xfId="0" applyBorder="1" applyFont="1"/>
    <xf borderId="54" fillId="0" fontId="19" numFmtId="0" xfId="0" applyAlignment="1" applyBorder="1" applyFont="1">
      <alignment horizontal="left" shrinkToFit="0" vertical="center" wrapText="1"/>
    </xf>
    <xf borderId="36" fillId="0" fontId="19" numFmtId="0" xfId="0" applyAlignment="1" applyBorder="1" applyFont="1">
      <alignment horizontal="left" shrinkToFit="0" vertical="center" wrapText="1"/>
    </xf>
    <xf borderId="53" fillId="0" fontId="4" numFmtId="0" xfId="0" applyBorder="1" applyFont="1"/>
    <xf borderId="36" fillId="0" fontId="19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64" fillId="0" fontId="11" numFmtId="0" xfId="0" applyAlignment="1" applyBorder="1" applyFont="1">
      <alignment horizontal="center" vertical="center"/>
    </xf>
    <xf borderId="24" fillId="0" fontId="11" numFmtId="0" xfId="0" applyAlignment="1" applyBorder="1" applyFont="1">
      <alignment horizontal="center" vertical="center"/>
    </xf>
    <xf borderId="27" fillId="0" fontId="4" numFmtId="0" xfId="0" applyBorder="1" applyFont="1"/>
    <xf borderId="65" fillId="0" fontId="11" numFmtId="0" xfId="0" applyAlignment="1" applyBorder="1" applyFont="1">
      <alignment horizontal="center" vertical="center"/>
    </xf>
    <xf borderId="66" fillId="0" fontId="4" numFmtId="0" xfId="0" applyBorder="1" applyFont="1"/>
    <xf borderId="67" fillId="0" fontId="11" numFmtId="0" xfId="0" applyAlignment="1" applyBorder="1" applyFont="1">
      <alignment horizontal="left" vertical="center"/>
    </xf>
    <xf borderId="68" fillId="0" fontId="11" numFmtId="0" xfId="0" applyAlignment="1" applyBorder="1" applyFont="1">
      <alignment horizontal="center" vertical="center"/>
    </xf>
    <xf borderId="67" fillId="0" fontId="11" numFmtId="0" xfId="0" applyAlignment="1" applyBorder="1" applyFont="1">
      <alignment horizontal="center" vertical="center"/>
    </xf>
    <xf borderId="36" fillId="0" fontId="12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center" vertical="center"/>
    </xf>
    <xf borderId="69" fillId="0" fontId="21" numFmtId="0" xfId="0" applyAlignment="1" applyBorder="1" applyFont="1">
      <alignment horizontal="center" vertical="center"/>
    </xf>
    <xf borderId="70" fillId="0" fontId="21" numFmtId="0" xfId="0" applyAlignment="1" applyBorder="1" applyFont="1">
      <alignment horizontal="center" vertical="center"/>
    </xf>
    <xf borderId="31" fillId="0" fontId="21" numFmtId="0" xfId="0" applyAlignment="1" applyBorder="1" applyFont="1">
      <alignment horizontal="center" vertical="center"/>
    </xf>
    <xf borderId="30" fillId="0" fontId="22" numFmtId="168" xfId="0" applyAlignment="1" applyBorder="1" applyFont="1" applyNumberFormat="1">
      <alignment horizontal="center" vertical="center"/>
    </xf>
    <xf borderId="70" fillId="0" fontId="23" numFmtId="168" xfId="0" applyAlignment="1" applyBorder="1" applyFont="1" applyNumberFormat="1">
      <alignment horizontal="center" vertical="center"/>
    </xf>
    <xf borderId="70" fillId="0" fontId="24" numFmtId="168" xfId="0" applyAlignment="1" applyBorder="1" applyFont="1" applyNumberFormat="1">
      <alignment horizontal="center"/>
    </xf>
    <xf borderId="70" fillId="0" fontId="23" numFmtId="168" xfId="0" applyAlignment="1" applyBorder="1" applyFont="1" applyNumberFormat="1">
      <alignment horizontal="center" readingOrder="0" vertical="center"/>
    </xf>
    <xf borderId="45" fillId="0" fontId="11" numFmtId="0" xfId="0" applyAlignment="1" applyBorder="1" applyFont="1">
      <alignment horizontal="left" vertical="center"/>
    </xf>
    <xf borderId="46" fillId="0" fontId="11" numFmtId="0" xfId="0" applyAlignment="1" applyBorder="1" applyFont="1">
      <alignment horizontal="left" vertical="center"/>
    </xf>
    <xf borderId="43" fillId="0" fontId="11" numFmtId="0" xfId="0" applyAlignment="1" applyBorder="1" applyFont="1">
      <alignment horizontal="center" vertical="center"/>
    </xf>
    <xf borderId="71" fillId="0" fontId="21" numFmtId="0" xfId="0" applyAlignment="1" applyBorder="1" applyFont="1">
      <alignment horizontal="center" vertical="center"/>
    </xf>
    <xf borderId="67" fillId="0" fontId="21" numFmtId="0" xfId="0" applyAlignment="1" applyBorder="1" applyFont="1">
      <alignment horizontal="center" vertical="center"/>
    </xf>
    <xf borderId="68" fillId="0" fontId="22" numFmtId="0" xfId="0" applyAlignment="1" applyBorder="1" applyFont="1">
      <alignment horizontal="center" shrinkToFit="1" vertical="center" wrapText="0"/>
    </xf>
    <xf borderId="72" fillId="0" fontId="4" numFmtId="0" xfId="0" applyBorder="1" applyFont="1"/>
    <xf borderId="68" fillId="0" fontId="22" numFmtId="49" xfId="0" applyAlignment="1" applyBorder="1" applyFont="1" applyNumberFormat="1">
      <alignment horizontal="center" vertical="center"/>
    </xf>
    <xf borderId="68" fillId="0" fontId="22" numFmtId="165" xfId="0" applyAlignment="1" applyBorder="1" applyFont="1" applyNumberFormat="1">
      <alignment horizontal="center" vertical="center"/>
    </xf>
    <xf borderId="68" fillId="0" fontId="22" numFmtId="3" xfId="0" applyAlignment="1" applyBorder="1" applyFont="1" applyNumberFormat="1">
      <alignment vertical="center"/>
    </xf>
    <xf borderId="68" fillId="0" fontId="22" numFmtId="0" xfId="0" applyAlignment="1" applyBorder="1" applyFont="1">
      <alignment horizontal="center" vertical="center"/>
    </xf>
    <xf borderId="73" fillId="0" fontId="4" numFmtId="0" xfId="0" applyBorder="1" applyFont="1"/>
    <xf borderId="36" fillId="0" fontId="11" numFmtId="0" xfId="0" applyAlignment="1" applyBorder="1" applyFont="1">
      <alignment horizontal="center" vertical="center"/>
    </xf>
    <xf borderId="37" fillId="0" fontId="15" numFmtId="0" xfId="0" applyAlignment="1" applyBorder="1" applyFont="1">
      <alignment horizontal="center" shrinkToFit="0" vertical="center" wrapText="1"/>
    </xf>
    <xf borderId="53" fillId="0" fontId="11" numFmtId="0" xfId="0" applyAlignment="1" applyBorder="1" applyFont="1">
      <alignment horizontal="center" vertical="center"/>
    </xf>
    <xf borderId="0" fillId="0" fontId="22" numFmtId="3" xfId="0" applyAlignment="1" applyFont="1" applyNumberFormat="1">
      <alignment horizontal="center" vertical="center"/>
    </xf>
    <xf borderId="69" fillId="0" fontId="22" numFmtId="3" xfId="0" applyAlignment="1" applyBorder="1" applyFont="1" applyNumberFormat="1">
      <alignment horizontal="center" vertical="center"/>
    </xf>
    <xf borderId="30" fillId="0" fontId="22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right" vertical="center"/>
    </xf>
    <xf borderId="74" fillId="0" fontId="15" numFmtId="0" xfId="0" applyAlignment="1" applyBorder="1" applyFont="1">
      <alignment horizontal="right" vertical="center"/>
    </xf>
    <xf borderId="74" fillId="0" fontId="4" numFmtId="0" xfId="0" applyBorder="1" applyFont="1"/>
    <xf borderId="75" fillId="0" fontId="10" numFmtId="0" xfId="0" applyAlignment="1" applyBorder="1" applyFont="1">
      <alignment horizontal="left" vertical="center"/>
    </xf>
    <xf borderId="75" fillId="0" fontId="11" numFmtId="0" xfId="0" applyAlignment="1" applyBorder="1" applyFont="1">
      <alignment horizontal="left" vertical="center"/>
    </xf>
    <xf borderId="75" fillId="0" fontId="10" numFmtId="0" xfId="0" applyAlignment="1" applyBorder="1" applyFont="1">
      <alignment horizontal="right" vertical="center"/>
    </xf>
    <xf borderId="0" fillId="0" fontId="10" numFmtId="0" xfId="0" applyAlignment="1" applyFont="1">
      <alignment horizontal="right" vertical="center"/>
    </xf>
    <xf borderId="0" fillId="0" fontId="25" numFmtId="0" xfId="0" applyAlignment="1" applyFont="1">
      <alignment horizontal="left" vertical="center"/>
    </xf>
    <xf borderId="0" fillId="0" fontId="26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13.75"/>
    <col customWidth="1" min="3" max="6" width="11.75"/>
    <col customWidth="1" min="7" max="9" width="17.5"/>
    <col customWidth="1" min="10" max="26" width="7.63"/>
  </cols>
  <sheetData>
    <row r="1" ht="32.25" customHeight="1">
      <c r="A1" s="1"/>
    </row>
    <row r="2" ht="13.5" customHeight="1"/>
    <row r="3" ht="13.5" customHeight="1">
      <c r="A3" s="2"/>
      <c r="B3" s="3" t="s">
        <v>0</v>
      </c>
      <c r="D3" s="2"/>
      <c r="E3" s="2"/>
      <c r="G3" s="3" t="s">
        <v>1</v>
      </c>
      <c r="I3" s="2"/>
      <c r="J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16.5" customHeight="1">
      <c r="A5" s="2"/>
      <c r="B5" s="4" t="s">
        <v>2</v>
      </c>
      <c r="C5" s="5" t="s">
        <v>3</v>
      </c>
      <c r="D5" s="6"/>
      <c r="E5" s="7"/>
      <c r="F5" s="2"/>
      <c r="G5" s="4" t="s">
        <v>2</v>
      </c>
      <c r="H5" s="8" t="s">
        <v>4</v>
      </c>
      <c r="I5" s="7"/>
      <c r="J5" s="2"/>
    </row>
    <row r="6" ht="16.5" customHeight="1">
      <c r="A6" s="2"/>
      <c r="B6" s="9" t="s">
        <v>5</v>
      </c>
      <c r="C6" s="10" t="s">
        <v>6</v>
      </c>
      <c r="D6" s="11"/>
      <c r="E6" s="12"/>
      <c r="F6" s="2"/>
      <c r="G6" s="9" t="s">
        <v>5</v>
      </c>
      <c r="H6" s="13" t="s">
        <v>5</v>
      </c>
      <c r="I6" s="12"/>
      <c r="J6" s="2"/>
    </row>
    <row r="7" ht="16.5" customHeight="1">
      <c r="A7" s="2"/>
      <c r="B7" s="9" t="s">
        <v>7</v>
      </c>
      <c r="C7" s="10" t="s">
        <v>8</v>
      </c>
      <c r="D7" s="11"/>
      <c r="E7" s="12"/>
      <c r="F7" s="2"/>
      <c r="G7" s="9" t="s">
        <v>7</v>
      </c>
      <c r="H7" s="14" t="s">
        <v>7</v>
      </c>
      <c r="I7" s="12"/>
      <c r="J7" s="2"/>
    </row>
    <row r="8" ht="16.5" customHeight="1">
      <c r="A8" s="2"/>
      <c r="B8" s="9" t="s">
        <v>9</v>
      </c>
      <c r="C8" s="10" t="s">
        <v>10</v>
      </c>
      <c r="D8" s="11"/>
      <c r="E8" s="12"/>
      <c r="F8" s="2"/>
      <c r="G8" s="9" t="s">
        <v>9</v>
      </c>
      <c r="H8" s="13" t="s">
        <v>11</v>
      </c>
      <c r="I8" s="12"/>
      <c r="J8" s="2"/>
    </row>
    <row r="9" ht="16.5" customHeight="1">
      <c r="A9" s="2"/>
      <c r="B9" s="9" t="s">
        <v>12</v>
      </c>
      <c r="C9" s="10" t="s">
        <v>13</v>
      </c>
      <c r="D9" s="11"/>
      <c r="E9" s="12"/>
      <c r="F9" s="2"/>
      <c r="G9" s="9" t="s">
        <v>12</v>
      </c>
      <c r="H9" s="13" t="s">
        <v>14</v>
      </c>
      <c r="I9" s="12"/>
      <c r="J9" s="2"/>
    </row>
    <row r="10" ht="27.0" customHeight="1">
      <c r="A10" s="2"/>
      <c r="B10" s="15" t="s">
        <v>15</v>
      </c>
      <c r="C10" s="16" t="s">
        <v>16</v>
      </c>
      <c r="D10" s="17"/>
      <c r="E10" s="18"/>
      <c r="F10" s="2"/>
      <c r="G10" s="9" t="s">
        <v>15</v>
      </c>
      <c r="H10" s="14" t="s">
        <v>17</v>
      </c>
      <c r="I10" s="12"/>
      <c r="J10" s="2"/>
    </row>
    <row r="11" ht="13.5" customHeight="1">
      <c r="A11" s="2"/>
      <c r="B11" s="2"/>
      <c r="C11" s="2"/>
      <c r="D11" s="2"/>
      <c r="E11" s="2"/>
      <c r="F11" s="2"/>
      <c r="G11" s="15" t="s">
        <v>18</v>
      </c>
      <c r="H11" s="19"/>
      <c r="I11" s="18"/>
      <c r="J11" s="2"/>
    </row>
    <row r="12" ht="13.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3.5" customHeight="1">
      <c r="A13" s="2"/>
      <c r="B13" s="3" t="s">
        <v>19</v>
      </c>
      <c r="C13" s="2"/>
      <c r="D13" s="2"/>
      <c r="E13" s="2"/>
      <c r="F13" s="2"/>
      <c r="G13" s="2"/>
      <c r="H13" s="2"/>
      <c r="I13" s="2"/>
      <c r="J13" s="2"/>
    </row>
    <row r="14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16.5" customHeight="1">
      <c r="A15" s="2"/>
      <c r="B15" s="4" t="s">
        <v>20</v>
      </c>
      <c r="C15" s="20">
        <v>46196.0</v>
      </c>
      <c r="D15" s="21"/>
      <c r="E15" s="22"/>
      <c r="F15" s="22"/>
      <c r="G15" s="22"/>
      <c r="H15" s="22"/>
      <c r="I15" s="23"/>
      <c r="J15" s="2"/>
    </row>
    <row r="16" ht="16.5" customHeight="1">
      <c r="A16" s="2"/>
      <c r="B16" s="9"/>
      <c r="C16" s="24" t="s">
        <v>21</v>
      </c>
      <c r="D16" s="24" t="s">
        <v>22</v>
      </c>
      <c r="E16" s="24" t="s">
        <v>23</v>
      </c>
      <c r="F16" s="24" t="s">
        <v>24</v>
      </c>
      <c r="G16" s="24" t="s">
        <v>25</v>
      </c>
      <c r="H16" s="24" t="s">
        <v>26</v>
      </c>
      <c r="I16" s="25" t="s">
        <v>27</v>
      </c>
      <c r="J16" s="2"/>
    </row>
    <row r="17" ht="16.5" customHeight="1">
      <c r="A17" s="2"/>
      <c r="B17" s="9" t="s">
        <v>28</v>
      </c>
      <c r="C17" s="26" t="s">
        <v>29</v>
      </c>
      <c r="D17" s="26"/>
      <c r="E17" s="27">
        <v>1.0</v>
      </c>
      <c r="F17" s="28">
        <v>25000.0</v>
      </c>
      <c r="G17" s="29">
        <f t="shared" ref="G17:G19" si="1">SUM(E17*F17)</f>
        <v>25000</v>
      </c>
      <c r="H17" s="29">
        <f t="shared" ref="H17:H19" si="2">G17*10%</f>
        <v>2500</v>
      </c>
      <c r="I17" s="30">
        <f t="shared" ref="I17:I19" si="3">SUM(G17:H17)</f>
        <v>27500</v>
      </c>
      <c r="J17" s="2"/>
    </row>
    <row r="18" ht="16.5" customHeight="1">
      <c r="A18" s="2"/>
      <c r="B18" s="9" t="s">
        <v>30</v>
      </c>
      <c r="C18" s="26" t="s">
        <v>31</v>
      </c>
      <c r="D18" s="26"/>
      <c r="E18" s="27">
        <v>1.0</v>
      </c>
      <c r="F18" s="28">
        <v>100000.0</v>
      </c>
      <c r="G18" s="29">
        <f t="shared" si="1"/>
        <v>100000</v>
      </c>
      <c r="H18" s="29">
        <f t="shared" si="2"/>
        <v>10000</v>
      </c>
      <c r="I18" s="30">
        <f t="shared" si="3"/>
        <v>110000</v>
      </c>
      <c r="J18" s="2"/>
    </row>
    <row r="19" ht="16.5" customHeight="1">
      <c r="A19" s="2"/>
      <c r="B19" s="9" t="s">
        <v>32</v>
      </c>
      <c r="C19" s="26"/>
      <c r="D19" s="26"/>
      <c r="E19" s="27"/>
      <c r="F19" s="28"/>
      <c r="G19" s="29">
        <f t="shared" si="1"/>
        <v>0</v>
      </c>
      <c r="H19" s="29">
        <f t="shared" si="2"/>
        <v>0</v>
      </c>
      <c r="I19" s="30">
        <f t="shared" si="3"/>
        <v>0</v>
      </c>
      <c r="J19" s="2"/>
    </row>
    <row r="20" ht="16.5" customHeight="1">
      <c r="A20" s="2"/>
      <c r="B20" s="9" t="s">
        <v>33</v>
      </c>
      <c r="C20" s="26"/>
      <c r="D20" s="31"/>
      <c r="E20" s="32"/>
      <c r="F20" s="33"/>
      <c r="G20" s="29"/>
      <c r="H20" s="29"/>
      <c r="I20" s="30"/>
      <c r="J20" s="2"/>
    </row>
    <row r="21" ht="16.5" customHeight="1">
      <c r="A21" s="2"/>
      <c r="B21" s="15" t="s">
        <v>34</v>
      </c>
      <c r="C21" s="34"/>
      <c r="D21" s="34"/>
      <c r="E21" s="34"/>
      <c r="F21" s="35"/>
      <c r="G21" s="35">
        <f t="shared" ref="G21:I21" si="4">SUM(G17:G20)</f>
        <v>125000</v>
      </c>
      <c r="H21" s="35">
        <f t="shared" si="4"/>
        <v>12500</v>
      </c>
      <c r="I21" s="36">
        <f t="shared" si="4"/>
        <v>137500</v>
      </c>
      <c r="J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37"/>
      <c r="J23" s="2"/>
    </row>
    <row r="24" ht="16.5" customHeight="1">
      <c r="C24" s="38"/>
      <c r="D24" s="2" t="s">
        <v>35</v>
      </c>
    </row>
    <row r="25" ht="16.5" customHeight="1">
      <c r="H25" s="39" t="s">
        <v>36</v>
      </c>
    </row>
    <row r="26" ht="16.5" customHeight="1">
      <c r="C26" s="40"/>
      <c r="D26" s="2" t="s">
        <v>37</v>
      </c>
    </row>
    <row r="27" ht="16.5" customHeight="1"/>
    <row r="28" ht="16.5" customHeight="1">
      <c r="D28" s="41"/>
      <c r="E28" s="42"/>
      <c r="F28" s="43"/>
      <c r="G28" s="43"/>
      <c r="H28" s="43"/>
      <c r="I28" s="43"/>
    </row>
    <row r="29" ht="16.5" customHeight="1">
      <c r="D29" s="42"/>
      <c r="E29" s="42"/>
      <c r="F29" s="43"/>
      <c r="G29" s="43"/>
      <c r="H29" s="43"/>
      <c r="I29" s="43"/>
    </row>
    <row r="30" ht="13.5" customHeight="1">
      <c r="D30" s="42"/>
      <c r="E30" s="44"/>
      <c r="F30" s="43"/>
      <c r="G30" s="43"/>
      <c r="H30" s="43"/>
      <c r="I30" s="43"/>
    </row>
    <row r="31" ht="13.5" customHeight="1">
      <c r="D31" s="42"/>
      <c r="E31" s="44"/>
      <c r="F31" s="43"/>
      <c r="G31" s="43"/>
      <c r="H31" s="43"/>
      <c r="I31" s="43"/>
    </row>
    <row r="32" ht="13.5" customHeight="1">
      <c r="D32" s="42"/>
      <c r="E32" s="44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4">
    <mergeCell ref="H7:I7"/>
    <mergeCell ref="H8:I8"/>
    <mergeCell ref="H11:I11"/>
    <mergeCell ref="C9:E9"/>
    <mergeCell ref="H9:I9"/>
    <mergeCell ref="C10:E10"/>
    <mergeCell ref="H10:I10"/>
    <mergeCell ref="A1:J1"/>
    <mergeCell ref="C5:E5"/>
    <mergeCell ref="H5:I5"/>
    <mergeCell ref="C6:E6"/>
    <mergeCell ref="H6:I6"/>
    <mergeCell ref="C7:E7"/>
    <mergeCell ref="C8:E8"/>
  </mergeCells>
  <printOptions/>
  <pageMargins bottom="0.7874015748031497" footer="0.0" header="0.0" left="0.7480314960629921" right="0.7480314960629921" top="0.7874015748031497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4" width="3.13"/>
  </cols>
  <sheetData>
    <row r="1" ht="30.75" customHeight="1">
      <c r="A1" s="45"/>
      <c r="B1" s="45"/>
      <c r="AH1" s="46">
        <v>2.0</v>
      </c>
    </row>
    <row r="2" ht="13.5" customHeight="1">
      <c r="A2" s="47"/>
      <c r="B2" s="47"/>
      <c r="C2" s="47"/>
      <c r="D2" s="48"/>
      <c r="E2" s="48"/>
      <c r="F2" s="48"/>
      <c r="G2" s="48"/>
      <c r="H2" s="49"/>
      <c r="I2" s="49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50"/>
      <c r="AC2" s="50"/>
      <c r="AH2" s="51"/>
    </row>
    <row r="3" ht="19.5" customHeight="1">
      <c r="A3" s="52"/>
      <c r="B3" s="53" t="s">
        <v>38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 t="s">
        <v>39</v>
      </c>
      <c r="R3" s="55" t="s">
        <v>1</v>
      </c>
      <c r="S3" s="54"/>
      <c r="T3" s="54"/>
      <c r="U3" s="54"/>
      <c r="V3" s="54"/>
      <c r="W3" s="55" t="s">
        <v>40</v>
      </c>
      <c r="X3" s="56" t="s">
        <v>41</v>
      </c>
      <c r="Y3" s="57"/>
      <c r="Z3" s="57"/>
      <c r="AA3" s="58"/>
      <c r="AB3" s="59"/>
      <c r="AC3" s="60"/>
      <c r="AD3" s="61" t="s">
        <v>42</v>
      </c>
      <c r="AE3" s="59"/>
      <c r="AF3" s="62"/>
      <c r="AG3" s="63" t="s">
        <v>43</v>
      </c>
      <c r="AH3" s="51"/>
    </row>
    <row r="4" ht="19.5" customHeight="1">
      <c r="A4" s="52"/>
      <c r="B4" s="64"/>
      <c r="R4" s="65" t="s">
        <v>44</v>
      </c>
      <c r="S4" s="66"/>
      <c r="T4" s="66"/>
      <c r="U4" s="66"/>
      <c r="V4" s="66"/>
      <c r="X4" s="67" t="s">
        <v>45</v>
      </c>
      <c r="Y4" s="68"/>
      <c r="Z4" s="68"/>
      <c r="AA4" s="69"/>
      <c r="AB4" s="70"/>
      <c r="AC4" s="71"/>
      <c r="AD4" s="70"/>
      <c r="AE4" s="70"/>
      <c r="AF4" s="70"/>
      <c r="AG4" s="72"/>
      <c r="AH4" s="51"/>
    </row>
    <row r="5" ht="13.5" customHeight="1">
      <c r="A5" s="73"/>
      <c r="B5" s="74" t="s">
        <v>46</v>
      </c>
      <c r="C5" s="75" t="s">
        <v>47</v>
      </c>
      <c r="D5" s="76"/>
      <c r="E5" s="77"/>
      <c r="F5" s="78" t="str">
        <f>MID('자료입력'!C6,1,1)</f>
        <v>6</v>
      </c>
      <c r="G5" s="79" t="str">
        <f>MID('자료입력'!C6,2,1)</f>
        <v>1</v>
      </c>
      <c r="H5" s="79" t="str">
        <f>MID('자료입력'!C6,3,1)</f>
        <v>7</v>
      </c>
      <c r="I5" s="79" t="s">
        <v>48</v>
      </c>
      <c r="J5" s="79" t="str">
        <f>MID('자료입력'!C6,5,1)</f>
        <v>8</v>
      </c>
      <c r="K5" s="79" t="str">
        <f>MID('자료입력'!C6,6,1)</f>
        <v>1</v>
      </c>
      <c r="L5" s="79" t="s">
        <v>48</v>
      </c>
      <c r="M5" s="79" t="str">
        <f>MID('자료입력'!C6,8,1)</f>
        <v>7</v>
      </c>
      <c r="N5" s="79" t="str">
        <f>MID('자료입력'!C6,9,1)</f>
        <v>6</v>
      </c>
      <c r="O5" s="79" t="str">
        <f>MID('자료입력'!C6,10,1)</f>
        <v>3</v>
      </c>
      <c r="P5" s="79" t="str">
        <f>MID('자료입력'!C6,11,1)</f>
        <v>3</v>
      </c>
      <c r="Q5" s="80" t="str">
        <f>MID('자료입력'!C6,12,1)</f>
        <v>1</v>
      </c>
      <c r="R5" s="81" t="s">
        <v>1</v>
      </c>
      <c r="S5" s="75" t="s">
        <v>47</v>
      </c>
      <c r="T5" s="76"/>
      <c r="U5" s="77"/>
      <c r="V5" s="78" t="str">
        <f>MID('자료입력'!H6,1,1)</f>
        <v>사</v>
      </c>
      <c r="W5" s="78" t="str">
        <f>MID('자료입력'!H6,2,1)</f>
        <v>업</v>
      </c>
      <c r="X5" s="78" t="str">
        <f>MID('자료입력'!H6,3,1)</f>
        <v>자</v>
      </c>
      <c r="Y5" s="79" t="s">
        <v>48</v>
      </c>
      <c r="Z5" s="78" t="str">
        <f>MID('자료입력'!H6,5,1)</f>
        <v>록</v>
      </c>
      <c r="AA5" s="78" t="str">
        <f>MID('자료입력'!H6,6,1)</f>
        <v>번</v>
      </c>
      <c r="AB5" s="79" t="s">
        <v>48</v>
      </c>
      <c r="AC5" s="78" t="str">
        <f>MID('자료입력'!H6,8,1)</f>
        <v/>
      </c>
      <c r="AD5" s="78" t="str">
        <f>MID('자료입력'!H6,9,1)</f>
        <v/>
      </c>
      <c r="AE5" s="78" t="str">
        <f>MID('자료입력'!H6,10,1)</f>
        <v/>
      </c>
      <c r="AF5" s="78" t="str">
        <f>MID('자료입력'!H6,11,1)</f>
        <v/>
      </c>
      <c r="AG5" s="80" t="str">
        <f>MID('자료입력'!H6,12,1)</f>
        <v/>
      </c>
      <c r="AH5" s="51"/>
    </row>
    <row r="6" ht="13.5" customHeight="1">
      <c r="A6" s="73"/>
      <c r="B6" s="82"/>
      <c r="C6" s="83"/>
      <c r="D6" s="66"/>
      <c r="E6" s="84"/>
      <c r="F6" s="85"/>
      <c r="G6" s="86"/>
      <c r="H6" s="86"/>
      <c r="I6" s="86"/>
      <c r="J6" s="86"/>
      <c r="K6" s="86"/>
      <c r="L6" s="86"/>
      <c r="M6" s="86"/>
      <c r="N6" s="86"/>
      <c r="O6" s="86"/>
      <c r="P6" s="86"/>
      <c r="Q6" s="87"/>
      <c r="R6" s="88"/>
      <c r="S6" s="83"/>
      <c r="T6" s="66"/>
      <c r="U6" s="84"/>
      <c r="V6" s="89"/>
      <c r="W6" s="89"/>
      <c r="X6" s="89"/>
      <c r="Y6" s="90"/>
      <c r="Z6" s="89"/>
      <c r="AA6" s="89"/>
      <c r="AB6" s="90"/>
      <c r="AC6" s="89"/>
      <c r="AD6" s="89"/>
      <c r="AE6" s="89"/>
      <c r="AF6" s="89"/>
      <c r="AG6" s="91"/>
      <c r="AH6" s="51"/>
    </row>
    <row r="7" ht="13.5" customHeight="1">
      <c r="A7" s="73"/>
      <c r="B7" s="82"/>
      <c r="C7" s="75" t="s">
        <v>49</v>
      </c>
      <c r="D7" s="76"/>
      <c r="E7" s="77"/>
      <c r="F7" s="92" t="str">
        <f>'자료입력'!C5</f>
        <v>예시상사</v>
      </c>
      <c r="G7" s="76"/>
      <c r="H7" s="76"/>
      <c r="I7" s="76"/>
      <c r="J7" s="76"/>
      <c r="K7" s="77"/>
      <c r="L7" s="93" t="s">
        <v>50</v>
      </c>
      <c r="M7" s="94" t="str">
        <f>'자료입력'!C7</f>
        <v>홍길동</v>
      </c>
      <c r="N7" s="76"/>
      <c r="O7" s="76"/>
      <c r="P7" s="77"/>
      <c r="Q7" s="95" t="s">
        <v>51</v>
      </c>
      <c r="R7" s="88"/>
      <c r="S7" s="75" t="s">
        <v>49</v>
      </c>
      <c r="T7" s="76"/>
      <c r="U7" s="77"/>
      <c r="V7" s="96" t="str">
        <f>'자료입력'!H5</f>
        <v>상호명</v>
      </c>
      <c r="W7" s="54"/>
      <c r="X7" s="54"/>
      <c r="Y7" s="54"/>
      <c r="Z7" s="54"/>
      <c r="AA7" s="97"/>
      <c r="AB7" s="98" t="s">
        <v>50</v>
      </c>
      <c r="AC7" s="99" t="str">
        <f>'자료입력'!H7</f>
        <v>대표자성명</v>
      </c>
      <c r="AD7" s="54"/>
      <c r="AE7" s="54"/>
      <c r="AF7" s="54"/>
      <c r="AG7" s="100" t="s">
        <v>51</v>
      </c>
      <c r="AH7" s="51"/>
    </row>
    <row r="8" ht="13.5" customHeight="1">
      <c r="A8" s="73"/>
      <c r="B8" s="82"/>
      <c r="C8" s="101" t="s">
        <v>52</v>
      </c>
      <c r="D8" s="66"/>
      <c r="E8" s="84"/>
      <c r="F8" s="102"/>
      <c r="G8" s="103"/>
      <c r="H8" s="103"/>
      <c r="I8" s="103"/>
      <c r="J8" s="103"/>
      <c r="K8" s="104"/>
      <c r="L8" s="90"/>
      <c r="M8" s="105"/>
      <c r="N8" s="103"/>
      <c r="O8" s="103"/>
      <c r="P8" s="104"/>
      <c r="Q8" s="106"/>
      <c r="R8" s="88"/>
      <c r="S8" s="101" t="s">
        <v>52</v>
      </c>
      <c r="T8" s="66"/>
      <c r="U8" s="84"/>
      <c r="V8" s="83"/>
      <c r="W8" s="66"/>
      <c r="X8" s="66"/>
      <c r="Y8" s="66"/>
      <c r="Z8" s="66"/>
      <c r="AA8" s="84"/>
      <c r="AB8" s="86"/>
      <c r="AC8" s="83"/>
      <c r="AD8" s="66"/>
      <c r="AE8" s="66"/>
      <c r="AF8" s="66"/>
      <c r="AG8" s="107"/>
      <c r="AH8" s="51"/>
    </row>
    <row r="9" ht="13.5" customHeight="1">
      <c r="A9" s="73"/>
      <c r="B9" s="82"/>
      <c r="C9" s="75" t="s">
        <v>53</v>
      </c>
      <c r="D9" s="76"/>
      <c r="E9" s="77"/>
      <c r="F9" s="108" t="str">
        <f>'자료입력'!C8</f>
        <v>서울특별시 ○○구 ○○대로 000, 0층</v>
      </c>
      <c r="G9" s="54"/>
      <c r="H9" s="54"/>
      <c r="I9" s="54"/>
      <c r="J9" s="54"/>
      <c r="K9" s="54"/>
      <c r="L9" s="54"/>
      <c r="M9" s="54"/>
      <c r="N9" s="54"/>
      <c r="O9" s="54"/>
      <c r="P9" s="54"/>
      <c r="Q9" s="97"/>
      <c r="R9" s="88"/>
      <c r="S9" s="75" t="s">
        <v>53</v>
      </c>
      <c r="T9" s="76"/>
      <c r="U9" s="77"/>
      <c r="V9" s="109" t="str">
        <f>'자료입력'!H8</f>
        <v>사업장주소</v>
      </c>
      <c r="W9" s="76"/>
      <c r="X9" s="76"/>
      <c r="Y9" s="76"/>
      <c r="Z9" s="76"/>
      <c r="AA9" s="76"/>
      <c r="AB9" s="76"/>
      <c r="AC9" s="76"/>
      <c r="AD9" s="76"/>
      <c r="AE9" s="76"/>
      <c r="AF9" s="76"/>
      <c r="AG9" s="110"/>
      <c r="AH9" s="51"/>
    </row>
    <row r="10" ht="13.5" customHeight="1">
      <c r="A10" s="73"/>
      <c r="B10" s="82"/>
      <c r="C10" s="101" t="s">
        <v>54</v>
      </c>
      <c r="D10" s="66"/>
      <c r="E10" s="84"/>
      <c r="F10" s="83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84"/>
      <c r="R10" s="88"/>
      <c r="S10" s="101" t="s">
        <v>54</v>
      </c>
      <c r="T10" s="66"/>
      <c r="U10" s="84"/>
      <c r="V10" s="83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107"/>
      <c r="AH10" s="51"/>
    </row>
    <row r="11" ht="13.5" customHeight="1">
      <c r="A11" s="73"/>
      <c r="B11" s="82"/>
      <c r="C11" s="75" t="s">
        <v>55</v>
      </c>
      <c r="D11" s="76"/>
      <c r="E11" s="77"/>
      <c r="F11" s="94" t="str">
        <f>'자료입력'!C9</f>
        <v>서비스</v>
      </c>
      <c r="G11" s="76"/>
      <c r="H11" s="76"/>
      <c r="I11" s="76"/>
      <c r="J11" s="76"/>
      <c r="K11" s="77"/>
      <c r="L11" s="93" t="s">
        <v>15</v>
      </c>
      <c r="M11" s="111" t="str">
        <f>'자료입력'!C10</f>
        <v>소프트웨어 개발 및 공급</v>
      </c>
      <c r="N11" s="76"/>
      <c r="O11" s="76"/>
      <c r="P11" s="76"/>
      <c r="Q11" s="77"/>
      <c r="R11" s="88"/>
      <c r="S11" s="75" t="s">
        <v>55</v>
      </c>
      <c r="T11" s="76"/>
      <c r="U11" s="77"/>
      <c r="V11" s="94" t="str">
        <f>'자료입력'!H9</f>
        <v>사업 업태</v>
      </c>
      <c r="W11" s="76"/>
      <c r="X11" s="76"/>
      <c r="Y11" s="76"/>
      <c r="Z11" s="76"/>
      <c r="AA11" s="77"/>
      <c r="AB11" s="93" t="s">
        <v>15</v>
      </c>
      <c r="AC11" s="111" t="str">
        <f>'자료입력'!H10</f>
        <v>사업종목</v>
      </c>
      <c r="AD11" s="76"/>
      <c r="AE11" s="76"/>
      <c r="AF11" s="76"/>
      <c r="AG11" s="110"/>
      <c r="AH11" s="51"/>
    </row>
    <row r="12" ht="21.75" customHeight="1">
      <c r="A12" s="73"/>
      <c r="B12" s="85"/>
      <c r="C12" s="83"/>
      <c r="D12" s="66"/>
      <c r="E12" s="84"/>
      <c r="F12" s="83"/>
      <c r="G12" s="66"/>
      <c r="H12" s="66"/>
      <c r="I12" s="66"/>
      <c r="J12" s="66"/>
      <c r="K12" s="84"/>
      <c r="L12" s="86"/>
      <c r="M12" s="83"/>
      <c r="N12" s="66"/>
      <c r="O12" s="66"/>
      <c r="P12" s="66"/>
      <c r="Q12" s="84"/>
      <c r="R12" s="84"/>
      <c r="S12" s="83"/>
      <c r="T12" s="66"/>
      <c r="U12" s="84"/>
      <c r="V12" s="83"/>
      <c r="W12" s="66"/>
      <c r="X12" s="66"/>
      <c r="Y12" s="66"/>
      <c r="Z12" s="66"/>
      <c r="AA12" s="84"/>
      <c r="AB12" s="86"/>
      <c r="AC12" s="105"/>
      <c r="AD12" s="103"/>
      <c r="AE12" s="103"/>
      <c r="AF12" s="103"/>
      <c r="AG12" s="106"/>
      <c r="AH12" s="51"/>
    </row>
    <row r="13" ht="13.5" customHeight="1">
      <c r="A13" s="112"/>
      <c r="B13" s="113" t="s">
        <v>56</v>
      </c>
      <c r="C13" s="57"/>
      <c r="D13" s="57"/>
      <c r="E13" s="58"/>
      <c r="F13" s="114" t="s">
        <v>57</v>
      </c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114" t="s">
        <v>58</v>
      </c>
      <c r="T13" s="57"/>
      <c r="U13" s="57"/>
      <c r="V13" s="57"/>
      <c r="W13" s="57"/>
      <c r="X13" s="57"/>
      <c r="Y13" s="57"/>
      <c r="Z13" s="57"/>
      <c r="AA13" s="57"/>
      <c r="AB13" s="58"/>
      <c r="AC13" s="114" t="s">
        <v>59</v>
      </c>
      <c r="AD13" s="57"/>
      <c r="AE13" s="57"/>
      <c r="AF13" s="57"/>
      <c r="AG13" s="115"/>
      <c r="AH13" s="51"/>
    </row>
    <row r="14" ht="13.5" customHeight="1">
      <c r="A14" s="112"/>
      <c r="B14" s="116" t="s">
        <v>60</v>
      </c>
      <c r="C14" s="117"/>
      <c r="D14" s="118" t="s">
        <v>61</v>
      </c>
      <c r="E14" s="118" t="s">
        <v>62</v>
      </c>
      <c r="F14" s="119" t="s">
        <v>63</v>
      </c>
      <c r="G14" s="117"/>
      <c r="H14" s="120" t="s">
        <v>64</v>
      </c>
      <c r="I14" s="118" t="s">
        <v>65</v>
      </c>
      <c r="J14" s="118" t="s">
        <v>66</v>
      </c>
      <c r="K14" s="118" t="s">
        <v>67</v>
      </c>
      <c r="L14" s="118" t="s">
        <v>64</v>
      </c>
      <c r="M14" s="118" t="s">
        <v>65</v>
      </c>
      <c r="N14" s="118" t="s">
        <v>68</v>
      </c>
      <c r="O14" s="118" t="s">
        <v>67</v>
      </c>
      <c r="P14" s="118" t="s">
        <v>64</v>
      </c>
      <c r="Q14" s="118" t="s">
        <v>65</v>
      </c>
      <c r="R14" s="118" t="s">
        <v>62</v>
      </c>
      <c r="S14" s="118" t="s">
        <v>65</v>
      </c>
      <c r="T14" s="118" t="s">
        <v>66</v>
      </c>
      <c r="U14" s="118" t="s">
        <v>67</v>
      </c>
      <c r="V14" s="118" t="s">
        <v>64</v>
      </c>
      <c r="W14" s="118" t="s">
        <v>65</v>
      </c>
      <c r="X14" s="118" t="s">
        <v>68</v>
      </c>
      <c r="Y14" s="118" t="s">
        <v>67</v>
      </c>
      <c r="Z14" s="118" t="s">
        <v>64</v>
      </c>
      <c r="AA14" s="118" t="s">
        <v>65</v>
      </c>
      <c r="AB14" s="118" t="s">
        <v>62</v>
      </c>
      <c r="AC14" s="121" t="str">
        <f>'자료입력'!H11</f>
        <v/>
      </c>
      <c r="AD14" s="76"/>
      <c r="AE14" s="76"/>
      <c r="AF14" s="76"/>
      <c r="AG14" s="110"/>
      <c r="AH14" s="51"/>
    </row>
    <row r="15" ht="19.5" customHeight="1">
      <c r="A15" s="122"/>
      <c r="B15" s="123">
        <f>YEAR('자료입력'!C15)</f>
        <v>2026</v>
      </c>
      <c r="C15" s="68"/>
      <c r="D15" s="124">
        <f>MONTH('자료입력'!C15)</f>
        <v>6</v>
      </c>
      <c r="E15" s="125">
        <f>DAY('자료입력'!C15)</f>
        <v>23</v>
      </c>
      <c r="F15" s="126">
        <f>COUNTBLANK(H15:R15)</f>
        <v>5</v>
      </c>
      <c r="G15" s="69"/>
      <c r="H15" s="127"/>
      <c r="I15" s="127"/>
      <c r="J15" s="127"/>
      <c r="K15" s="127" t="str">
        <f>IF(ISERROR(MID('자료입력'!G21,LEN('자료입력'!G21)-10,1)),"",MID('자료입력'!G21,LEN('자료입력'!G21)-10,1))</f>
        <v/>
      </c>
      <c r="L15" s="128" t="str">
        <f>IF(ISERROR(MID('자료입력'!G21,LEN('자료입력'!G21)-9,1)),"",MID('자료입력'!G21,LEN('자료입력'!G21)-9,1))</f>
        <v/>
      </c>
      <c r="M15" s="128" t="str">
        <f>IF(ISERROR(MID('자료입력'!G21,LEN('자료입력'!G21)-7,1)),"",MID('자료입력'!G21,LEN('자료입력'!G21)-7,1))</f>
        <v>1</v>
      </c>
      <c r="N15" s="128" t="str">
        <f>IF(ISERROR(MID('자료입력'!G21,LEN('자료입력'!G21)-6,1)),"",MID('자료입력'!G21,LEN('자료입력'!G21)-6,1))</f>
        <v>2</v>
      </c>
      <c r="O15" s="128" t="str">
        <f>IF(ISERROR(MID('자료입력'!G21,LEN('자료입력'!G21)-5,1)),"",MID('자료입력'!G21,LEN('자료입력'!G21)-5,1))</f>
        <v>5</v>
      </c>
      <c r="P15" s="128" t="str">
        <f>IF(ISERROR(MID('자료입력'!G21,LEN('자료입력'!G21)-3,1)),"",MID('자료입력'!G21,LEN('자료입력'!G21)-3,1))</f>
        <v>0</v>
      </c>
      <c r="Q15" s="128" t="str">
        <f>IF(ISERROR(MID('자료입력'!G21,LEN('자료입력'!G21)-2,1)),"",MID('자료입력'!G21,LEN('자료입력'!G21)-2,1))</f>
        <v>0</v>
      </c>
      <c r="R15" s="128" t="str">
        <f>IF(ISERROR(MID('자료입력'!G21,LEN('자료입력'!G21)-1,1)),"",MID('자료입력'!G21,LEN('자료입력'!G21)-1,1))</f>
        <v>0</v>
      </c>
      <c r="S15" s="127" t="str">
        <f>IF(ISERROR(MID('자료입력'!H21,LEN('자료입력'!H21)-9,1)),"",MID('자료입력'!H21,LEN('자료입력'!H21)-9,1))</f>
        <v/>
      </c>
      <c r="T15" s="129" t="str">
        <f t="shared" ref="T15:U15" si="1">J15</f>
        <v/>
      </c>
      <c r="U15" s="129" t="str">
        <f t="shared" si="1"/>
        <v/>
      </c>
      <c r="V15" s="129" t="str">
        <f t="shared" ref="V15:AB15" si="2">K15</f>
        <v/>
      </c>
      <c r="W15" s="129" t="str">
        <f t="shared" si="2"/>
        <v/>
      </c>
      <c r="X15" s="129" t="str">
        <f t="shared" si="2"/>
        <v>1</v>
      </c>
      <c r="Y15" s="129" t="str">
        <f t="shared" si="2"/>
        <v>2</v>
      </c>
      <c r="Z15" s="129" t="str">
        <f t="shared" si="2"/>
        <v>5</v>
      </c>
      <c r="AA15" s="129" t="str">
        <f t="shared" si="2"/>
        <v>0</v>
      </c>
      <c r="AB15" s="129" t="str">
        <f t="shared" si="2"/>
        <v>0</v>
      </c>
      <c r="AC15" s="105"/>
      <c r="AD15" s="103"/>
      <c r="AE15" s="103"/>
      <c r="AF15" s="103"/>
      <c r="AG15" s="106"/>
      <c r="AH15" s="51"/>
    </row>
    <row r="16" ht="13.5" customHeight="1">
      <c r="A16" s="48"/>
      <c r="B16" s="130" t="s">
        <v>61</v>
      </c>
      <c r="C16" s="131" t="s">
        <v>62</v>
      </c>
      <c r="D16" s="132" t="s">
        <v>69</v>
      </c>
      <c r="E16" s="66"/>
      <c r="F16" s="66"/>
      <c r="G16" s="66"/>
      <c r="H16" s="66"/>
      <c r="I16" s="84"/>
      <c r="J16" s="132" t="s">
        <v>22</v>
      </c>
      <c r="K16" s="66"/>
      <c r="L16" s="66"/>
      <c r="M16" s="84"/>
      <c r="N16" s="132" t="s">
        <v>23</v>
      </c>
      <c r="O16" s="84"/>
      <c r="P16" s="132" t="s">
        <v>70</v>
      </c>
      <c r="Q16" s="66"/>
      <c r="R16" s="66"/>
      <c r="S16" s="66"/>
      <c r="T16" s="84"/>
      <c r="U16" s="132" t="s">
        <v>71</v>
      </c>
      <c r="V16" s="66"/>
      <c r="W16" s="66"/>
      <c r="X16" s="66"/>
      <c r="Y16" s="66"/>
      <c r="Z16" s="84"/>
      <c r="AA16" s="132" t="s">
        <v>72</v>
      </c>
      <c r="AB16" s="66"/>
      <c r="AC16" s="66"/>
      <c r="AD16" s="66"/>
      <c r="AE16" s="84"/>
      <c r="AF16" s="132" t="s">
        <v>18</v>
      </c>
      <c r="AG16" s="107"/>
      <c r="AH16" s="51"/>
    </row>
    <row r="17" ht="19.5" customHeight="1">
      <c r="A17" s="122"/>
      <c r="B17" s="133">
        <f t="shared" ref="B17:C17" si="3">D15</f>
        <v>6</v>
      </c>
      <c r="C17" s="134">
        <f t="shared" si="3"/>
        <v>23</v>
      </c>
      <c r="D17" s="135" t="str">
        <f>'자료입력'!C17</f>
        <v>예시품목1</v>
      </c>
      <c r="E17" s="136"/>
      <c r="F17" s="136"/>
      <c r="G17" s="136"/>
      <c r="H17" s="136"/>
      <c r="I17" s="117"/>
      <c r="J17" s="137" t="str">
        <f>'자료입력'!D17</f>
        <v/>
      </c>
      <c r="K17" s="136"/>
      <c r="L17" s="136"/>
      <c r="M17" s="117"/>
      <c r="N17" s="138">
        <f>'자료입력'!E17</f>
        <v>1</v>
      </c>
      <c r="O17" s="117"/>
      <c r="P17" s="139">
        <f>'자료입력'!F17</f>
        <v>25000</v>
      </c>
      <c r="Q17" s="136"/>
      <c r="R17" s="136"/>
      <c r="S17" s="136"/>
      <c r="T17" s="117"/>
      <c r="U17" s="139">
        <f>'자료입력'!G17</f>
        <v>25000</v>
      </c>
      <c r="V17" s="136"/>
      <c r="W17" s="136"/>
      <c r="X17" s="136"/>
      <c r="Y17" s="136"/>
      <c r="Z17" s="117"/>
      <c r="AA17" s="139">
        <f>'자료입력'!H17</f>
        <v>2500</v>
      </c>
      <c r="AB17" s="136"/>
      <c r="AC17" s="136"/>
      <c r="AD17" s="136"/>
      <c r="AE17" s="117"/>
      <c r="AF17" s="140"/>
      <c r="AG17" s="141"/>
      <c r="AH17" s="51"/>
    </row>
    <row r="18" ht="19.5" customHeight="1">
      <c r="A18" s="122"/>
      <c r="B18" s="133"/>
      <c r="C18" s="134"/>
      <c r="D18" s="140" t="str">
        <f>'자료입력'!C18</f>
        <v>예시품목2</v>
      </c>
      <c r="E18" s="136"/>
      <c r="F18" s="136"/>
      <c r="G18" s="136"/>
      <c r="H18" s="136"/>
      <c r="I18" s="117"/>
      <c r="J18" s="137" t="str">
        <f>'자료입력'!D18</f>
        <v/>
      </c>
      <c r="K18" s="136"/>
      <c r="L18" s="136"/>
      <c r="M18" s="117"/>
      <c r="N18" s="138">
        <f>'자료입력'!E18</f>
        <v>1</v>
      </c>
      <c r="O18" s="117"/>
      <c r="P18" s="139">
        <f>'자료입력'!F18</f>
        <v>100000</v>
      </c>
      <c r="Q18" s="136"/>
      <c r="R18" s="136"/>
      <c r="S18" s="136"/>
      <c r="T18" s="117"/>
      <c r="U18" s="139">
        <f>'자료입력'!G18</f>
        <v>100000</v>
      </c>
      <c r="V18" s="136"/>
      <c r="W18" s="136"/>
      <c r="X18" s="136"/>
      <c r="Y18" s="136"/>
      <c r="Z18" s="117"/>
      <c r="AA18" s="139">
        <f>'자료입력'!H18</f>
        <v>10000</v>
      </c>
      <c r="AB18" s="136"/>
      <c r="AC18" s="136"/>
      <c r="AD18" s="136"/>
      <c r="AE18" s="117"/>
      <c r="AF18" s="140"/>
      <c r="AG18" s="141"/>
      <c r="AH18" s="51"/>
    </row>
    <row r="19" ht="19.5" customHeight="1">
      <c r="A19" s="122"/>
      <c r="B19" s="133"/>
      <c r="C19" s="134"/>
      <c r="D19" s="140" t="str">
        <f>'자료입력'!C19</f>
        <v/>
      </c>
      <c r="E19" s="136"/>
      <c r="F19" s="136"/>
      <c r="G19" s="136"/>
      <c r="H19" s="136"/>
      <c r="I19" s="117"/>
      <c r="J19" s="137" t="str">
        <f>'자료입력'!D19</f>
        <v/>
      </c>
      <c r="K19" s="136"/>
      <c r="L19" s="136"/>
      <c r="M19" s="117"/>
      <c r="N19" s="138" t="str">
        <f>'자료입력'!E19</f>
        <v/>
      </c>
      <c r="O19" s="117"/>
      <c r="P19" s="139" t="str">
        <f>'자료입력'!F19</f>
        <v/>
      </c>
      <c r="Q19" s="136"/>
      <c r="R19" s="136"/>
      <c r="S19" s="136"/>
      <c r="T19" s="117"/>
      <c r="U19" s="139">
        <f>'자료입력'!G19</f>
        <v>0</v>
      </c>
      <c r="V19" s="136"/>
      <c r="W19" s="136"/>
      <c r="X19" s="136"/>
      <c r="Y19" s="136"/>
      <c r="Z19" s="117"/>
      <c r="AA19" s="139">
        <f>'자료입력'!H19</f>
        <v>0</v>
      </c>
      <c r="AB19" s="136"/>
      <c r="AC19" s="136"/>
      <c r="AD19" s="136"/>
      <c r="AE19" s="117"/>
      <c r="AF19" s="140"/>
      <c r="AG19" s="141"/>
      <c r="AH19" s="51"/>
    </row>
    <row r="20" ht="19.5" customHeight="1">
      <c r="A20" s="122"/>
      <c r="B20" s="133"/>
      <c r="C20" s="134"/>
      <c r="D20" s="140" t="str">
        <f>'자료입력'!C20</f>
        <v/>
      </c>
      <c r="E20" s="136"/>
      <c r="F20" s="136"/>
      <c r="G20" s="136"/>
      <c r="H20" s="136"/>
      <c r="I20" s="117"/>
      <c r="J20" s="137" t="str">
        <f>'자료입력'!D20</f>
        <v/>
      </c>
      <c r="K20" s="136"/>
      <c r="L20" s="136"/>
      <c r="M20" s="117"/>
      <c r="N20" s="138" t="str">
        <f>'자료입력'!E20</f>
        <v/>
      </c>
      <c r="O20" s="117"/>
      <c r="P20" s="139" t="str">
        <f>'자료입력'!F20</f>
        <v/>
      </c>
      <c r="Q20" s="136"/>
      <c r="R20" s="136"/>
      <c r="S20" s="136"/>
      <c r="T20" s="117"/>
      <c r="U20" s="139" t="str">
        <f>'자료입력'!G20</f>
        <v/>
      </c>
      <c r="V20" s="136"/>
      <c r="W20" s="136"/>
      <c r="X20" s="136"/>
      <c r="Y20" s="136"/>
      <c r="Z20" s="117"/>
      <c r="AA20" s="139" t="str">
        <f>'자료입력'!H20</f>
        <v/>
      </c>
      <c r="AB20" s="136"/>
      <c r="AC20" s="136"/>
      <c r="AD20" s="136"/>
      <c r="AE20" s="117"/>
      <c r="AF20" s="140"/>
      <c r="AG20" s="141"/>
      <c r="AH20" s="51"/>
    </row>
    <row r="21" ht="13.5" customHeight="1">
      <c r="A21" s="112"/>
      <c r="B21" s="116" t="s">
        <v>34</v>
      </c>
      <c r="C21" s="136"/>
      <c r="D21" s="136"/>
      <c r="E21" s="136"/>
      <c r="F21" s="117"/>
      <c r="G21" s="119" t="s">
        <v>73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17"/>
      <c r="AA21" s="142" t="s">
        <v>74</v>
      </c>
      <c r="AB21" s="76"/>
      <c r="AC21" s="76"/>
      <c r="AD21" s="77"/>
      <c r="AE21" s="143" t="str">
        <f>IF(AH1=1,"영수","청구")</f>
        <v>청구</v>
      </c>
      <c r="AF21" s="76"/>
      <c r="AG21" s="144" t="s">
        <v>75</v>
      </c>
      <c r="AH21" s="51"/>
    </row>
    <row r="22" ht="19.5" customHeight="1">
      <c r="A22" s="145"/>
      <c r="B22" s="146">
        <f>'자료입력'!I21</f>
        <v>137500</v>
      </c>
      <c r="C22" s="68"/>
      <c r="D22" s="68"/>
      <c r="E22" s="68"/>
      <c r="F22" s="69"/>
      <c r="G22" s="147" t="s">
        <v>76</v>
      </c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9"/>
      <c r="AA22" s="105"/>
      <c r="AB22" s="103"/>
      <c r="AC22" s="103"/>
      <c r="AD22" s="104"/>
      <c r="AE22" s="103"/>
      <c r="AF22" s="103"/>
      <c r="AG22" s="106"/>
      <c r="AH22" s="51"/>
    </row>
    <row r="23" ht="13.5" customHeight="1">
      <c r="A23" s="47"/>
      <c r="B23" s="47"/>
      <c r="C23" s="47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148"/>
      <c r="Y23" s="54"/>
      <c r="Z23" s="54"/>
      <c r="AA23" s="54"/>
      <c r="AB23" s="54"/>
      <c r="AC23" s="54"/>
      <c r="AD23" s="54"/>
      <c r="AE23" s="54"/>
      <c r="AF23" s="54"/>
      <c r="AG23" s="54"/>
      <c r="AH23" s="51"/>
    </row>
    <row r="24" ht="12.75" customHeight="1">
      <c r="A24" s="47"/>
      <c r="B24" s="47"/>
      <c r="C24" s="47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149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51"/>
    </row>
    <row r="25" ht="12.75" customHeight="1">
      <c r="A25" s="47"/>
      <c r="B25" s="151"/>
      <c r="C25" s="151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1"/>
      <c r="Y25" s="152"/>
      <c r="Z25" s="152"/>
      <c r="AA25" s="152"/>
      <c r="AB25" s="152"/>
      <c r="AC25" s="152"/>
      <c r="AD25" s="152"/>
      <c r="AE25" s="152"/>
      <c r="AF25" s="152"/>
      <c r="AG25" s="153"/>
      <c r="AH25" s="51"/>
    </row>
    <row r="26" ht="12.75" customHeight="1">
      <c r="A26" s="47"/>
      <c r="B26" s="47"/>
      <c r="C26" s="47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7"/>
      <c r="Y26" s="48"/>
      <c r="Z26" s="48"/>
      <c r="AA26" s="48"/>
      <c r="AB26" s="48"/>
      <c r="AC26" s="48"/>
      <c r="AD26" s="48"/>
      <c r="AE26" s="48"/>
      <c r="AF26" s="48"/>
      <c r="AG26" s="154"/>
      <c r="AH26" s="51"/>
    </row>
    <row r="27" ht="13.5" customHeight="1">
      <c r="A27" s="155"/>
      <c r="B27" s="155"/>
      <c r="C27" s="155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56"/>
      <c r="AD27" s="156"/>
      <c r="AE27" s="156"/>
      <c r="AF27" s="156"/>
      <c r="AG27" s="156"/>
      <c r="AH27" s="51"/>
    </row>
    <row r="28" ht="13.5" customHeight="1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</row>
    <row r="29" ht="13.5" customHeight="1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</row>
    <row r="30" ht="13.5" customHeight="1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</row>
    <row r="31" ht="13.5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</row>
    <row r="32" ht="13.5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</row>
    <row r="33" ht="13.5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</row>
    <row r="34" ht="13.5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</row>
    <row r="35" ht="13.5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</row>
    <row r="36" ht="13.5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</row>
    <row r="37" ht="13.5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</row>
    <row r="38" ht="13.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</row>
    <row r="39" ht="13.5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</row>
    <row r="40" ht="13.5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</row>
    <row r="41" ht="13.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</row>
    <row r="42" ht="13.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</row>
    <row r="43" ht="13.5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</row>
    <row r="44" ht="13.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</row>
    <row r="45" ht="13.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</row>
    <row r="46" ht="13.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</row>
    <row r="47" ht="13.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</row>
    <row r="48" ht="13.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</row>
    <row r="49" ht="13.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</row>
    <row r="50" ht="13.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</row>
    <row r="51" ht="13.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</row>
    <row r="52" ht="13.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</row>
    <row r="53" ht="13.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</row>
    <row r="54" ht="13.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</row>
    <row r="55" ht="13.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</row>
    <row r="56" ht="13.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</row>
    <row r="57" ht="13.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</row>
    <row r="58" ht="13.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</row>
    <row r="59" ht="13.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</row>
    <row r="60" ht="13.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</row>
    <row r="61" ht="13.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</row>
    <row r="62" ht="13.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</row>
    <row r="63" ht="13.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</row>
    <row r="64" ht="13.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</row>
    <row r="65" ht="13.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</row>
    <row r="66" ht="13.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</row>
    <row r="67" ht="13.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</row>
    <row r="68" ht="13.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</row>
    <row r="69" ht="13.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</row>
    <row r="70" ht="13.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</row>
    <row r="71" ht="13.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</row>
    <row r="72" ht="13.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</row>
    <row r="73" ht="13.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</row>
    <row r="74" ht="13.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</row>
    <row r="75" ht="13.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</row>
    <row r="76" ht="13.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</row>
    <row r="77" ht="13.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</row>
    <row r="78" ht="13.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</row>
    <row r="79" ht="13.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</row>
    <row r="80" ht="13.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</row>
    <row r="81" ht="13.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</row>
    <row r="82" ht="13.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</row>
    <row r="83" ht="13.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</row>
    <row r="84" ht="13.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</row>
    <row r="85" ht="13.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</row>
    <row r="86" ht="13.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</row>
    <row r="87" ht="13.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</row>
    <row r="88" ht="13.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</row>
    <row r="89" ht="13.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</row>
    <row r="90" ht="13.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</row>
    <row r="91" ht="13.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</row>
    <row r="92" ht="13.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</row>
    <row r="93" ht="13.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</row>
    <row r="94" ht="13.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</row>
    <row r="95" ht="13.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</row>
    <row r="96" ht="13.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</row>
    <row r="97" ht="13.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</row>
    <row r="98" ht="13.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</row>
    <row r="99" ht="13.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</row>
    <row r="100" ht="13.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</row>
    <row r="101" ht="13.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</row>
    <row r="102" ht="13.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</row>
    <row r="103" ht="13.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</row>
    <row r="104" ht="13.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</row>
    <row r="105" ht="13.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</row>
    <row r="106" ht="13.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</row>
    <row r="107" ht="13.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</row>
    <row r="108" ht="13.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</row>
    <row r="109" ht="13.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</row>
    <row r="110" ht="13.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</row>
    <row r="111" ht="13.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</row>
    <row r="112" ht="13.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</row>
    <row r="113" ht="13.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</row>
    <row r="114" ht="13.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</row>
    <row r="115" ht="13.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</row>
    <row r="116" ht="13.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</row>
    <row r="117" ht="13.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</row>
    <row r="118" ht="13.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</row>
    <row r="119" ht="13.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</row>
    <row r="120" ht="13.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</row>
    <row r="121" ht="13.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</row>
    <row r="122" ht="13.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</row>
    <row r="123" ht="13.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</row>
    <row r="124" ht="13.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</row>
    <row r="125" ht="13.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</row>
    <row r="126" ht="13.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</row>
    <row r="127" ht="13.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</row>
    <row r="128" ht="13.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</row>
    <row r="129" ht="13.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</row>
    <row r="130" ht="13.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</row>
    <row r="131" ht="13.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</row>
    <row r="132" ht="13.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</row>
    <row r="133" ht="13.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</row>
    <row r="134" ht="13.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</row>
    <row r="135" ht="13.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</row>
    <row r="136" ht="13.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</row>
    <row r="137" ht="13.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</row>
    <row r="138" ht="13.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</row>
    <row r="139" ht="13.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</row>
    <row r="140" ht="13.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</row>
    <row r="141" ht="13.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</row>
    <row r="142" ht="13.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</row>
    <row r="143" ht="13.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</row>
    <row r="144" ht="13.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</row>
    <row r="145" ht="13.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</row>
    <row r="146" ht="13.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</row>
    <row r="147" ht="13.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</row>
    <row r="148" ht="13.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</row>
    <row r="149" ht="13.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</row>
    <row r="150" ht="13.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</row>
    <row r="151" ht="13.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</row>
    <row r="152" ht="13.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</row>
    <row r="153" ht="13.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</row>
    <row r="154" ht="13.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</row>
    <row r="155" ht="13.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</row>
    <row r="156" ht="13.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</row>
    <row r="157" ht="13.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</row>
    <row r="158" ht="13.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</row>
    <row r="159" ht="13.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</row>
    <row r="160" ht="13.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</row>
    <row r="161" ht="13.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</row>
    <row r="162" ht="13.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</row>
    <row r="163" ht="13.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</row>
    <row r="164" ht="13.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</row>
    <row r="165" ht="13.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</row>
    <row r="166" ht="13.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</row>
    <row r="167" ht="13.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</row>
    <row r="168" ht="13.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</row>
    <row r="169" ht="13.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</row>
    <row r="170" ht="13.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</row>
    <row r="171" ht="13.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</row>
    <row r="172" ht="13.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</row>
    <row r="173" ht="13.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</row>
    <row r="174" ht="13.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</row>
    <row r="175" ht="13.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</row>
    <row r="176" ht="13.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</row>
    <row r="177" ht="13.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</row>
    <row r="178" ht="13.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</row>
    <row r="179" ht="13.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</row>
    <row r="180" ht="13.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</row>
    <row r="181" ht="13.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</row>
    <row r="182" ht="13.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</row>
    <row r="183" ht="13.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</row>
    <row r="184" ht="13.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</row>
    <row r="185" ht="13.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</row>
    <row r="186" ht="13.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</row>
    <row r="187" ht="13.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</row>
    <row r="188" ht="13.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</row>
    <row r="189" ht="13.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</row>
    <row r="190" ht="13.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</row>
    <row r="191" ht="13.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</row>
    <row r="192" ht="13.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</row>
    <row r="193" ht="13.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</row>
    <row r="194" ht="13.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</row>
    <row r="195" ht="13.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</row>
    <row r="196" ht="13.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</row>
    <row r="197" ht="13.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</row>
    <row r="198" ht="13.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</row>
    <row r="199" ht="13.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</row>
    <row r="200" ht="13.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</row>
    <row r="201" ht="13.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</row>
    <row r="202" ht="13.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</row>
    <row r="203" ht="13.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</row>
    <row r="204" ht="13.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</row>
    <row r="205" ht="13.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</row>
    <row r="206" ht="13.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</row>
    <row r="207" ht="13.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</row>
    <row r="208" ht="13.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</row>
    <row r="209" ht="13.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</row>
    <row r="210" ht="13.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</row>
    <row r="211" ht="13.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</row>
    <row r="212" ht="13.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</row>
    <row r="213" ht="13.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</row>
    <row r="214" ht="13.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</row>
    <row r="215" ht="13.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</row>
    <row r="216" ht="13.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</row>
    <row r="217" ht="13.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</row>
    <row r="218" ht="13.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</row>
    <row r="219" ht="13.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</row>
    <row r="220" ht="13.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</row>
    <row r="221" ht="13.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</row>
    <row r="222" ht="13.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</row>
    <row r="223" ht="13.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</row>
    <row r="224" ht="13.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</row>
    <row r="225" ht="13.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</row>
    <row r="226" ht="13.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</row>
    <row r="227" ht="13.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</row>
    <row r="228" ht="13.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</row>
    <row r="229" ht="13.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</row>
    <row r="230" ht="13.5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</row>
    <row r="231" ht="13.5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</row>
    <row r="232" ht="13.5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</row>
    <row r="233" ht="13.5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</row>
    <row r="234" ht="13.5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</row>
    <row r="235" ht="13.5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</row>
    <row r="236" ht="13.5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</row>
    <row r="237" ht="13.5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</row>
    <row r="238" ht="13.5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</row>
    <row r="239" ht="13.5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</row>
    <row r="240" ht="13.5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</row>
    <row r="241" ht="13.5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</row>
    <row r="242" ht="13.5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</row>
    <row r="243" ht="13.5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</row>
    <row r="244" ht="13.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</row>
    <row r="245" ht="13.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</row>
    <row r="246" ht="13.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</row>
    <row r="247" ht="13.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</row>
    <row r="248" ht="13.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</row>
    <row r="249" ht="13.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</row>
    <row r="250" ht="13.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</row>
    <row r="251" ht="13.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</row>
    <row r="252" ht="13.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</row>
    <row r="253" ht="13.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</row>
    <row r="254" ht="13.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</row>
    <row r="255" ht="13.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</row>
    <row r="256" ht="13.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</row>
    <row r="257" ht="13.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</row>
    <row r="258" ht="13.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</row>
    <row r="259" ht="13.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</row>
    <row r="260" ht="13.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</row>
    <row r="261" ht="13.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</row>
    <row r="262" ht="13.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</row>
    <row r="263" ht="13.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</row>
    <row r="264" ht="13.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</row>
    <row r="265" ht="13.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</row>
    <row r="266" ht="13.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</row>
    <row r="267" ht="13.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</row>
    <row r="268" ht="13.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</row>
    <row r="269" ht="13.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</row>
    <row r="270" ht="13.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</row>
    <row r="271" ht="13.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</row>
    <row r="272" ht="13.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</row>
    <row r="273" ht="13.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</row>
    <row r="274" ht="13.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</row>
    <row r="275" ht="13.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</row>
    <row r="276" ht="13.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ht="13.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ht="13.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</row>
    <row r="279" ht="13.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</row>
    <row r="280" ht="13.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</row>
    <row r="281" ht="13.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ht="13.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ht="13.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ht="13.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ht="13.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ht="13.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ht="13.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ht="13.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ht="13.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ht="13.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ht="13.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ht="13.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ht="13.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ht="13.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ht="13.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ht="13.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ht="13.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ht="13.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ht="13.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ht="13.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ht="13.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ht="13.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ht="13.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ht="13.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ht="13.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</row>
    <row r="306" ht="13.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</row>
    <row r="307" ht="13.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</row>
    <row r="308" ht="13.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</row>
    <row r="309" ht="13.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</row>
    <row r="310" ht="13.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</row>
    <row r="311" ht="13.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</row>
    <row r="312" ht="13.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</row>
    <row r="313" ht="13.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</row>
    <row r="314" ht="13.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</row>
    <row r="315" ht="13.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</row>
    <row r="316" ht="13.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</row>
    <row r="317" ht="13.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</row>
    <row r="318" ht="13.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</row>
    <row r="319" ht="13.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</row>
    <row r="320" ht="13.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</row>
    <row r="321" ht="13.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</row>
    <row r="322" ht="13.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</row>
    <row r="323" ht="13.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</row>
    <row r="324" ht="13.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</row>
    <row r="325" ht="13.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</row>
    <row r="326" ht="13.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</row>
    <row r="327" ht="13.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</row>
    <row r="328" ht="13.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</row>
    <row r="329" ht="13.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</row>
    <row r="330" ht="13.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</row>
    <row r="331" ht="13.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</row>
    <row r="332" ht="13.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</row>
    <row r="333" ht="13.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</row>
    <row r="334" ht="13.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</row>
    <row r="335" ht="13.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</row>
    <row r="336" ht="13.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</row>
    <row r="337" ht="13.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</row>
    <row r="338" ht="13.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</row>
    <row r="339" ht="13.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</row>
    <row r="340" ht="13.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</row>
    <row r="341" ht="13.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</row>
    <row r="342" ht="13.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</row>
    <row r="343" ht="13.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</row>
    <row r="344" ht="13.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</row>
    <row r="345" ht="13.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</row>
    <row r="346" ht="13.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</row>
    <row r="347" ht="13.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</row>
    <row r="348" ht="13.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</row>
    <row r="349" ht="13.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</row>
    <row r="350" ht="13.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</row>
    <row r="351" ht="13.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</row>
    <row r="352" ht="13.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</row>
    <row r="353" ht="13.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</row>
    <row r="354" ht="13.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</row>
    <row r="355" ht="13.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</row>
    <row r="356" ht="13.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</row>
    <row r="357" ht="13.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</row>
    <row r="358" ht="13.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</row>
    <row r="359" ht="13.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</row>
    <row r="360" ht="13.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</row>
    <row r="361" ht="13.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</row>
    <row r="362" ht="13.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</row>
    <row r="363" ht="13.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</row>
    <row r="364" ht="13.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</row>
    <row r="365" ht="13.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</row>
    <row r="366" ht="13.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</row>
    <row r="367" ht="13.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</row>
    <row r="368" ht="13.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</row>
    <row r="369" ht="13.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</row>
    <row r="370" ht="13.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</row>
    <row r="371" ht="13.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</row>
    <row r="372" ht="13.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</row>
    <row r="373" ht="13.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</row>
    <row r="374" ht="13.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</row>
    <row r="375" ht="13.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</row>
    <row r="376" ht="13.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</row>
    <row r="377" ht="13.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</row>
    <row r="378" ht="13.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</row>
    <row r="379" ht="13.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</row>
    <row r="380" ht="13.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</row>
    <row r="381" ht="13.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</row>
    <row r="382" ht="13.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</row>
    <row r="383" ht="13.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</row>
    <row r="384" ht="13.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</row>
    <row r="385" ht="13.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</row>
    <row r="386" ht="13.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</row>
    <row r="387" ht="13.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</row>
    <row r="388" ht="13.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</row>
    <row r="389" ht="13.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</row>
    <row r="390" ht="13.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</row>
    <row r="391" ht="13.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</row>
    <row r="392" ht="13.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</row>
    <row r="393" ht="13.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</row>
    <row r="394" ht="13.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</row>
    <row r="395" ht="13.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</row>
    <row r="396" ht="13.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</row>
    <row r="397" ht="13.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</row>
    <row r="398" ht="13.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</row>
    <row r="399" ht="13.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</row>
    <row r="400" ht="13.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</row>
    <row r="401" ht="13.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</row>
    <row r="402" ht="13.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</row>
    <row r="403" ht="13.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</row>
    <row r="404" ht="13.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</row>
    <row r="405" ht="13.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</row>
    <row r="406" ht="13.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</row>
    <row r="407" ht="13.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</row>
    <row r="408" ht="13.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</row>
    <row r="409" ht="13.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</row>
    <row r="410" ht="13.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</row>
    <row r="411" ht="13.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</row>
    <row r="412" ht="13.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</row>
    <row r="413" ht="13.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</row>
    <row r="414" ht="13.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</row>
    <row r="415" ht="13.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</row>
    <row r="416" ht="13.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</row>
    <row r="417" ht="13.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</row>
    <row r="418" ht="13.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</row>
    <row r="419" ht="13.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</row>
    <row r="420" ht="13.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</row>
    <row r="421" ht="13.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</row>
    <row r="422" ht="13.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</row>
    <row r="423" ht="13.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</row>
    <row r="424" ht="13.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</row>
    <row r="425" ht="13.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</row>
    <row r="426" ht="13.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</row>
    <row r="427" ht="13.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</row>
    <row r="428" ht="13.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</row>
    <row r="429" ht="13.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</row>
    <row r="430" ht="13.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</row>
    <row r="431" ht="13.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</row>
    <row r="432" ht="13.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</row>
    <row r="433" ht="13.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</row>
    <row r="434" ht="13.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</row>
    <row r="435" ht="13.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</row>
    <row r="436" ht="13.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</row>
    <row r="437" ht="13.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</row>
    <row r="438" ht="13.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</row>
    <row r="439" ht="13.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</row>
    <row r="440" ht="13.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</row>
    <row r="441" ht="13.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</row>
    <row r="442" ht="13.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</row>
    <row r="443" ht="13.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</row>
    <row r="444" ht="13.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</row>
    <row r="445" ht="13.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</row>
    <row r="446" ht="13.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</row>
    <row r="447" ht="13.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</row>
    <row r="448" ht="13.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</row>
    <row r="449" ht="13.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</row>
    <row r="450" ht="13.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</row>
    <row r="451" ht="13.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</row>
    <row r="452" ht="13.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</row>
    <row r="453" ht="13.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</row>
    <row r="454" ht="13.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</row>
    <row r="455" ht="13.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</row>
    <row r="456" ht="13.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</row>
    <row r="457" ht="13.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</row>
    <row r="458" ht="13.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</row>
    <row r="459" ht="13.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</row>
    <row r="460" ht="13.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</row>
    <row r="461" ht="13.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</row>
    <row r="462" ht="13.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</row>
    <row r="463" ht="13.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</row>
    <row r="464" ht="13.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</row>
    <row r="465" ht="13.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</row>
    <row r="466" ht="13.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</row>
    <row r="467" ht="13.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</row>
    <row r="468" ht="13.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</row>
    <row r="469" ht="13.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</row>
    <row r="470" ht="13.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</row>
    <row r="471" ht="13.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</row>
    <row r="472" ht="13.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</row>
    <row r="473" ht="13.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</row>
    <row r="474" ht="13.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</row>
    <row r="475" ht="13.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</row>
    <row r="476" ht="13.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</row>
    <row r="477" ht="13.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</row>
    <row r="478" ht="13.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</row>
    <row r="479" ht="13.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</row>
    <row r="480" ht="13.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</row>
    <row r="481" ht="13.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</row>
    <row r="482" ht="13.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</row>
    <row r="483" ht="13.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</row>
    <row r="484" ht="13.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</row>
    <row r="485" ht="13.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</row>
    <row r="486" ht="13.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</row>
    <row r="487" ht="13.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</row>
    <row r="488" ht="13.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</row>
    <row r="489" ht="13.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</row>
    <row r="490" ht="13.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</row>
    <row r="491" ht="13.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</row>
    <row r="492" ht="13.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51"/>
    </row>
    <row r="493" ht="13.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</row>
    <row r="494" ht="13.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</row>
    <row r="495" ht="13.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</row>
    <row r="496" ht="13.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</row>
    <row r="497" ht="13.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</row>
    <row r="498" ht="13.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51"/>
    </row>
    <row r="499" ht="13.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</row>
    <row r="500" ht="13.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51"/>
    </row>
    <row r="501" ht="13.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</row>
    <row r="502" ht="13.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</row>
    <row r="503" ht="13.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</row>
    <row r="504" ht="13.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</row>
    <row r="505" ht="13.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</row>
    <row r="506" ht="13.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</row>
    <row r="507" ht="13.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</row>
    <row r="508" ht="13.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</row>
    <row r="509" ht="13.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</row>
    <row r="510" ht="13.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</row>
    <row r="511" ht="13.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</row>
    <row r="512" ht="13.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</row>
    <row r="513" ht="13.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</row>
    <row r="514" ht="13.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</row>
    <row r="515" ht="13.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</row>
    <row r="516" ht="13.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</row>
    <row r="517" ht="13.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</row>
    <row r="518" ht="13.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</row>
    <row r="519" ht="13.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</row>
    <row r="520" ht="13.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</row>
    <row r="521" ht="13.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</row>
    <row r="522" ht="13.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</row>
    <row r="523" ht="13.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</row>
    <row r="524" ht="13.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</row>
    <row r="525" ht="13.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</row>
    <row r="526" ht="13.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</row>
    <row r="527" ht="13.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</row>
    <row r="528" ht="13.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</row>
    <row r="529" ht="13.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</row>
    <row r="530" ht="13.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51"/>
    </row>
    <row r="531" ht="13.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</row>
    <row r="532" ht="13.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51"/>
    </row>
    <row r="533" ht="13.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</row>
    <row r="534" ht="13.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</row>
    <row r="535" ht="13.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</row>
    <row r="536" ht="13.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</row>
    <row r="537" ht="13.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  <c r="AG537" s="51"/>
      <c r="AH537" s="51"/>
    </row>
    <row r="538" ht="13.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</row>
    <row r="539" ht="13.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  <c r="AH539" s="51"/>
    </row>
    <row r="540" ht="13.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</row>
    <row r="541" ht="13.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</row>
    <row r="542" ht="13.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</row>
    <row r="543" ht="13.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</row>
    <row r="544" ht="13.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  <c r="AH544" s="51"/>
    </row>
    <row r="545" ht="13.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</row>
    <row r="546" ht="13.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</row>
    <row r="547" ht="13.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  <c r="AH547" s="51"/>
    </row>
    <row r="548" ht="13.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</row>
    <row r="549" ht="13.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  <c r="AH549" s="51"/>
    </row>
    <row r="550" ht="13.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</row>
    <row r="551" ht="13.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</row>
    <row r="552" ht="13.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  <c r="AH552" s="51"/>
    </row>
    <row r="553" ht="13.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</row>
    <row r="554" ht="13.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</row>
    <row r="555" ht="13.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</row>
    <row r="556" ht="13.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</row>
    <row r="557" ht="13.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  <c r="AH557" s="51"/>
    </row>
    <row r="558" ht="13.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</row>
    <row r="559" ht="13.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</row>
    <row r="560" ht="13.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</row>
    <row r="561" ht="13.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</row>
    <row r="562" ht="13.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</row>
    <row r="563" ht="13.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</row>
    <row r="564" ht="13.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</row>
    <row r="565" ht="13.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</row>
    <row r="566" ht="13.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</row>
    <row r="567" ht="13.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</row>
    <row r="568" ht="13.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  <c r="AH568" s="51"/>
    </row>
    <row r="569" ht="13.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</row>
    <row r="570" ht="13.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</row>
    <row r="571" ht="13.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</row>
    <row r="572" ht="13.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</row>
    <row r="573" ht="13.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</row>
    <row r="574" ht="13.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  <c r="AH574" s="51"/>
    </row>
    <row r="575" ht="13.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  <c r="AH575" s="51"/>
    </row>
    <row r="576" ht="13.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</row>
    <row r="577" ht="13.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</row>
    <row r="578" ht="13.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</row>
    <row r="579" ht="13.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</row>
    <row r="580" ht="13.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</row>
    <row r="581" ht="13.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</row>
    <row r="582" ht="13.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</row>
    <row r="583" ht="13.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</row>
    <row r="584" ht="13.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</row>
    <row r="585" ht="13.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</row>
    <row r="586" ht="13.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</row>
    <row r="587" ht="13.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</row>
    <row r="588" ht="13.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</row>
    <row r="589" ht="13.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</row>
    <row r="590" ht="13.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</row>
    <row r="591" ht="13.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</row>
    <row r="592" ht="13.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</row>
    <row r="593" ht="13.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</row>
    <row r="594" ht="13.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</row>
    <row r="595" ht="13.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</row>
    <row r="596" ht="13.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</row>
    <row r="597" ht="13.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  <c r="AH597" s="51"/>
    </row>
    <row r="598" ht="13.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</row>
    <row r="599" ht="13.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  <c r="AH599" s="51"/>
    </row>
    <row r="600" ht="13.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</row>
    <row r="601" ht="13.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</row>
    <row r="602" ht="13.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</row>
    <row r="603" ht="13.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  <c r="AH603" s="51"/>
    </row>
    <row r="604" ht="13.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</row>
    <row r="605" ht="13.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  <c r="AH605" s="51"/>
    </row>
    <row r="606" ht="13.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</row>
    <row r="607" ht="13.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</row>
    <row r="608" ht="13.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</row>
    <row r="609" ht="13.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</row>
    <row r="610" ht="13.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  <c r="AH610" s="51"/>
    </row>
    <row r="611" ht="13.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</row>
    <row r="612" ht="13.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  <c r="AH612" s="51"/>
    </row>
    <row r="613" ht="13.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</row>
    <row r="614" ht="13.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</row>
    <row r="615" ht="13.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  <c r="AH615" s="51"/>
    </row>
    <row r="616" ht="13.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</row>
    <row r="617" ht="13.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</row>
    <row r="618" ht="13.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</row>
    <row r="619" ht="13.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  <c r="AH619" s="51"/>
    </row>
    <row r="620" ht="13.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</row>
    <row r="621" ht="13.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</row>
    <row r="622" ht="13.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</row>
    <row r="623" ht="13.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  <c r="AH623" s="51"/>
    </row>
    <row r="624" ht="13.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</row>
    <row r="625" ht="13.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</row>
    <row r="626" ht="13.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</row>
    <row r="627" ht="13.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  <c r="AH627" s="51"/>
    </row>
    <row r="628" ht="13.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  <c r="AH628" s="51"/>
    </row>
    <row r="629" ht="13.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  <c r="AH629" s="51"/>
    </row>
    <row r="630" ht="13.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</row>
    <row r="631" ht="13.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  <c r="AH631" s="51"/>
    </row>
    <row r="632" ht="13.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</row>
    <row r="633" ht="13.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</row>
    <row r="634" ht="13.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  <c r="AH634" s="51"/>
    </row>
    <row r="635" ht="13.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</row>
    <row r="636" ht="13.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  <c r="AH636" s="51"/>
    </row>
    <row r="637" ht="13.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</row>
    <row r="638" ht="13.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  <c r="AH638" s="51"/>
    </row>
    <row r="639" ht="13.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</row>
    <row r="640" ht="13.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  <c r="AG640" s="51"/>
      <c r="AH640" s="51"/>
    </row>
    <row r="641" ht="13.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</row>
    <row r="642" ht="13.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</row>
    <row r="643" ht="13.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</row>
    <row r="644" ht="13.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</row>
    <row r="645" ht="13.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  <c r="AH645" s="51"/>
    </row>
    <row r="646" ht="13.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</row>
    <row r="647" ht="13.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  <c r="AH647" s="51"/>
    </row>
    <row r="648" ht="13.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  <c r="AH648" s="51"/>
    </row>
    <row r="649" ht="13.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  <c r="AH649" s="51"/>
    </row>
    <row r="650" ht="13.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  <c r="AH650" s="51"/>
    </row>
    <row r="651" ht="13.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  <c r="AH651" s="51"/>
    </row>
    <row r="652" ht="13.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  <c r="AH652" s="51"/>
    </row>
    <row r="653" ht="13.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  <c r="AH653" s="51"/>
    </row>
    <row r="654" ht="13.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  <c r="AG654" s="51"/>
      <c r="AH654" s="51"/>
    </row>
    <row r="655" ht="13.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</row>
    <row r="656" ht="13.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  <c r="AH656" s="51"/>
    </row>
    <row r="657" ht="13.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  <c r="AG657" s="51"/>
      <c r="AH657" s="51"/>
    </row>
    <row r="658" ht="13.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51"/>
      <c r="AH658" s="51"/>
    </row>
    <row r="659" ht="13.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  <c r="AH659" s="51"/>
    </row>
    <row r="660" ht="13.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  <c r="AH660" s="51"/>
    </row>
    <row r="661" ht="13.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  <c r="AH661" s="51"/>
    </row>
    <row r="662" ht="13.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  <c r="AH662" s="51"/>
    </row>
    <row r="663" ht="13.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</row>
    <row r="664" ht="13.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</row>
    <row r="665" ht="13.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</row>
    <row r="666" ht="13.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</row>
    <row r="667" ht="13.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</row>
    <row r="668" ht="13.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</row>
    <row r="669" ht="13.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</row>
    <row r="670" ht="13.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  <c r="AH670" s="51"/>
    </row>
    <row r="671" ht="13.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</row>
    <row r="672" ht="13.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  <c r="AH672" s="51"/>
    </row>
    <row r="673" ht="13.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</row>
    <row r="674" ht="13.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  <c r="AG674" s="51"/>
      <c r="AH674" s="51"/>
    </row>
    <row r="675" ht="13.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  <c r="AG675" s="51"/>
      <c r="AH675" s="51"/>
    </row>
    <row r="676" ht="13.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  <c r="AH676" s="51"/>
    </row>
    <row r="677" ht="13.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</row>
    <row r="678" ht="13.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  <c r="AG678" s="51"/>
      <c r="AH678" s="51"/>
    </row>
    <row r="679" ht="13.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  <c r="AG679" s="51"/>
      <c r="AH679" s="51"/>
    </row>
    <row r="680" ht="13.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</row>
    <row r="681" ht="13.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</row>
    <row r="682" ht="13.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  <c r="AH682" s="51"/>
    </row>
    <row r="683" ht="13.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</row>
    <row r="684" ht="13.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  <c r="AG684" s="51"/>
      <c r="AH684" s="51"/>
    </row>
    <row r="685" ht="13.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  <c r="AG685" s="51"/>
      <c r="AH685" s="51"/>
    </row>
    <row r="686" ht="13.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</row>
    <row r="687" ht="13.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  <c r="AG687" s="51"/>
      <c r="AH687" s="51"/>
    </row>
    <row r="688" ht="13.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</row>
    <row r="689" ht="13.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  <c r="AG689" s="51"/>
      <c r="AH689" s="51"/>
    </row>
    <row r="690" ht="13.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  <c r="AH690" s="51"/>
    </row>
    <row r="691" ht="13.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</row>
    <row r="692" ht="13.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  <c r="AG692" s="51"/>
      <c r="AH692" s="51"/>
    </row>
    <row r="693" ht="13.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  <c r="AG693" s="51"/>
      <c r="AH693" s="51"/>
    </row>
    <row r="694" ht="13.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51"/>
      <c r="AH694" s="51"/>
    </row>
    <row r="695" ht="13.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  <c r="AH695" s="51"/>
    </row>
    <row r="696" ht="13.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  <c r="AH696" s="51"/>
    </row>
    <row r="697" ht="13.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  <c r="AG697" s="51"/>
      <c r="AH697" s="51"/>
    </row>
    <row r="698" ht="13.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  <c r="AG698" s="51"/>
      <c r="AH698" s="51"/>
    </row>
    <row r="699" ht="13.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  <c r="AH699" s="51"/>
    </row>
    <row r="700" ht="13.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  <c r="AG700" s="51"/>
      <c r="AH700" s="51"/>
    </row>
    <row r="701" ht="13.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  <c r="AG701" s="51"/>
      <c r="AH701" s="51"/>
    </row>
    <row r="702" ht="13.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  <c r="AG702" s="51"/>
      <c r="AH702" s="51"/>
    </row>
    <row r="703" ht="13.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  <c r="AH703" s="51"/>
    </row>
    <row r="704" ht="13.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  <c r="AH704" s="51"/>
    </row>
    <row r="705" ht="13.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  <c r="AH705" s="51"/>
    </row>
    <row r="706" ht="13.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</row>
    <row r="707" ht="13.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  <c r="AG707" s="51"/>
      <c r="AH707" s="51"/>
    </row>
    <row r="708" ht="13.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  <c r="AG708" s="51"/>
      <c r="AH708" s="51"/>
    </row>
    <row r="709" ht="13.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  <c r="AH709" s="51"/>
    </row>
    <row r="710" ht="13.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</row>
    <row r="711" ht="13.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  <c r="AG711" s="51"/>
      <c r="AH711" s="51"/>
    </row>
    <row r="712" ht="13.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  <c r="AH712" s="51"/>
    </row>
    <row r="713" ht="13.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  <c r="AH713" s="51"/>
    </row>
    <row r="714" ht="13.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</row>
    <row r="715" ht="13.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  <c r="AH715" s="51"/>
    </row>
    <row r="716" ht="13.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  <c r="AH716" s="51"/>
    </row>
    <row r="717" ht="13.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  <c r="AH717" s="51"/>
    </row>
    <row r="718" ht="13.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</row>
    <row r="719" ht="13.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  <c r="AH719" s="51"/>
    </row>
    <row r="720" ht="13.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</row>
    <row r="721" ht="13.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</row>
    <row r="722" ht="13.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</row>
    <row r="723" ht="13.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  <c r="AH723" s="51"/>
    </row>
    <row r="724" ht="13.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</row>
    <row r="725" ht="13.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  <c r="AH725" s="51"/>
    </row>
    <row r="726" ht="13.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</row>
    <row r="727" ht="13.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</row>
    <row r="728" ht="13.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</row>
    <row r="729" ht="13.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  <c r="AH729" s="51"/>
    </row>
    <row r="730" ht="13.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</row>
    <row r="731" ht="13.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  <c r="AH731" s="51"/>
    </row>
    <row r="732" ht="13.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</row>
    <row r="733" ht="13.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  <c r="AH733" s="51"/>
    </row>
    <row r="734" ht="13.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</row>
    <row r="735" ht="13.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  <c r="AH735" s="51"/>
    </row>
    <row r="736" ht="13.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51"/>
    </row>
    <row r="737" ht="13.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</row>
    <row r="738" ht="13.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  <c r="AH738" s="51"/>
    </row>
    <row r="739" ht="13.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  <c r="AG739" s="51"/>
      <c r="AH739" s="51"/>
    </row>
    <row r="740" ht="13.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  <c r="AG740" s="51"/>
      <c r="AH740" s="51"/>
    </row>
    <row r="741" ht="13.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  <c r="AG741" s="51"/>
      <c r="AH741" s="51"/>
    </row>
    <row r="742" ht="13.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  <c r="AG742" s="51"/>
      <c r="AH742" s="51"/>
    </row>
    <row r="743" ht="13.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</row>
    <row r="744" ht="13.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  <c r="AG744" s="51"/>
      <c r="AH744" s="51"/>
    </row>
    <row r="745" ht="13.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  <c r="AG745" s="51"/>
      <c r="AH745" s="51"/>
    </row>
    <row r="746" ht="13.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  <c r="AG746" s="51"/>
      <c r="AH746" s="51"/>
    </row>
    <row r="747" ht="13.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  <c r="AH747" s="51"/>
    </row>
    <row r="748" ht="13.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  <c r="AG748" s="51"/>
      <c r="AH748" s="51"/>
    </row>
    <row r="749" ht="13.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  <c r="AH749" s="51"/>
    </row>
    <row r="750" ht="13.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  <c r="AG750" s="51"/>
      <c r="AH750" s="51"/>
    </row>
    <row r="751" ht="13.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  <c r="AH751" s="51"/>
    </row>
    <row r="752" ht="13.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  <c r="AG752" s="51"/>
      <c r="AH752" s="51"/>
    </row>
    <row r="753" ht="13.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  <c r="AH753" s="51"/>
    </row>
    <row r="754" ht="13.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</row>
    <row r="755" ht="13.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</row>
    <row r="756" ht="13.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  <c r="AH756" s="51"/>
    </row>
    <row r="757" ht="13.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</row>
    <row r="758" ht="13.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  <c r="AH758" s="51"/>
    </row>
    <row r="759" ht="13.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</row>
    <row r="760" ht="13.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  <c r="AH760" s="51"/>
    </row>
    <row r="761" ht="13.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</row>
    <row r="762" ht="13.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  <c r="AH762" s="51"/>
    </row>
    <row r="763" ht="13.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  <c r="AH763" s="51"/>
    </row>
    <row r="764" ht="13.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  <c r="AH764" s="51"/>
    </row>
    <row r="765" ht="13.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</row>
    <row r="766" ht="13.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  <c r="AH766" s="51"/>
    </row>
    <row r="767" ht="13.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  <c r="AH767" s="51"/>
    </row>
    <row r="768" ht="13.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  <c r="AH768" s="51"/>
    </row>
    <row r="769" ht="13.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</row>
    <row r="770" ht="13.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</row>
    <row r="771" ht="13.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  <c r="AH771" s="51"/>
    </row>
    <row r="772" ht="13.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</row>
    <row r="773" ht="13.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  <c r="AH773" s="51"/>
    </row>
    <row r="774" ht="13.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</row>
    <row r="775" ht="13.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  <c r="AH775" s="51"/>
    </row>
    <row r="776" ht="13.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</row>
    <row r="777" ht="13.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  <c r="AH777" s="51"/>
    </row>
    <row r="778" ht="13.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</row>
    <row r="779" ht="13.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  <c r="AH779" s="51"/>
    </row>
    <row r="780" ht="13.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</row>
    <row r="781" ht="13.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</row>
    <row r="782" ht="13.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</row>
    <row r="783" ht="13.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</row>
    <row r="784" ht="13.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</row>
    <row r="785" ht="13.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</row>
    <row r="786" ht="13.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</row>
    <row r="787" ht="13.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</row>
    <row r="788" ht="13.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</row>
    <row r="789" ht="13.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</row>
    <row r="790" ht="13.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</row>
    <row r="791" ht="13.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</row>
    <row r="792" ht="13.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  <c r="AH792" s="51"/>
    </row>
    <row r="793" ht="13.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</row>
    <row r="794" ht="13.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</row>
    <row r="795" ht="13.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</row>
    <row r="796" ht="13.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  <c r="AH796" s="51"/>
    </row>
    <row r="797" ht="13.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</row>
    <row r="798" ht="13.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</row>
    <row r="799" ht="13.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  <c r="AH799" s="51"/>
    </row>
    <row r="800" ht="13.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</row>
    <row r="801" ht="13.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</row>
    <row r="802" ht="13.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</row>
    <row r="803" ht="13.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</row>
    <row r="804" ht="13.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</row>
    <row r="805" ht="13.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</row>
    <row r="806" ht="13.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  <c r="AH806" s="51"/>
    </row>
    <row r="807" ht="13.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</row>
    <row r="808" ht="13.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</row>
    <row r="809" ht="13.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</row>
    <row r="810" ht="13.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</row>
    <row r="811" ht="13.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</row>
    <row r="812" ht="13.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</row>
    <row r="813" ht="13.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</row>
    <row r="814" ht="13.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</row>
    <row r="815" ht="13.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</row>
    <row r="816" ht="13.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</row>
    <row r="817" ht="13.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</row>
    <row r="818" ht="13.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</row>
    <row r="819" ht="13.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</row>
    <row r="820" ht="13.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</row>
    <row r="821" ht="13.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</row>
    <row r="822" ht="13.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</row>
    <row r="823" ht="13.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</row>
    <row r="824" ht="13.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</row>
    <row r="825" ht="13.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</row>
    <row r="826" ht="13.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</row>
    <row r="827" ht="13.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</row>
    <row r="828" ht="13.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</row>
    <row r="829" ht="13.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</row>
    <row r="830" ht="13.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</row>
    <row r="831" ht="13.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</row>
    <row r="832" ht="13.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</row>
    <row r="833" ht="13.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</row>
    <row r="834" ht="13.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</row>
    <row r="835" ht="13.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</row>
    <row r="836" ht="13.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</row>
    <row r="837" ht="13.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</row>
    <row r="838" ht="13.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</row>
    <row r="839" ht="13.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  <c r="AH839" s="51"/>
    </row>
    <row r="840" ht="13.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  <c r="AH840" s="51"/>
    </row>
    <row r="841" ht="13.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  <c r="AH841" s="51"/>
    </row>
    <row r="842" ht="13.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</row>
    <row r="843" ht="13.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  <c r="AH843" s="51"/>
    </row>
    <row r="844" ht="13.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  <c r="AG844" s="51"/>
      <c r="AH844" s="51"/>
    </row>
    <row r="845" ht="13.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  <c r="AG845" s="51"/>
      <c r="AH845" s="51"/>
    </row>
    <row r="846" ht="13.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  <c r="AG846" s="51"/>
      <c r="AH846" s="51"/>
    </row>
    <row r="847" ht="13.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  <c r="AG847" s="51"/>
      <c r="AH847" s="51"/>
    </row>
    <row r="848" ht="13.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  <c r="AG848" s="51"/>
      <c r="AH848" s="51"/>
    </row>
    <row r="849" ht="13.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  <c r="AG849" s="51"/>
      <c r="AH849" s="51"/>
    </row>
    <row r="850" ht="13.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  <c r="AG850" s="51"/>
      <c r="AH850" s="51"/>
    </row>
    <row r="851" ht="13.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  <c r="AG851" s="51"/>
      <c r="AH851" s="51"/>
    </row>
    <row r="852" ht="13.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  <c r="AG852" s="51"/>
      <c r="AH852" s="51"/>
    </row>
    <row r="853" ht="13.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  <c r="AG853" s="51"/>
      <c r="AH853" s="51"/>
    </row>
    <row r="854" ht="13.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  <c r="AG854" s="51"/>
      <c r="AH854" s="51"/>
    </row>
    <row r="855" ht="13.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  <c r="AG855" s="51"/>
      <c r="AH855" s="51"/>
    </row>
    <row r="856" ht="13.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  <c r="AH856" s="51"/>
    </row>
    <row r="857" ht="13.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  <c r="AG857" s="51"/>
      <c r="AH857" s="51"/>
    </row>
    <row r="858" ht="13.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  <c r="AG858" s="51"/>
      <c r="AH858" s="51"/>
    </row>
    <row r="859" ht="13.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  <c r="AG859" s="51"/>
      <c r="AH859" s="51"/>
    </row>
    <row r="860" ht="13.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  <c r="AG860" s="51"/>
      <c r="AH860" s="51"/>
    </row>
    <row r="861" ht="13.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  <c r="AG861" s="51"/>
      <c r="AH861" s="51"/>
    </row>
    <row r="862" ht="13.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  <c r="AG862" s="51"/>
      <c r="AH862" s="51"/>
    </row>
    <row r="863" ht="13.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  <c r="AG863" s="51"/>
      <c r="AH863" s="51"/>
    </row>
    <row r="864" ht="13.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  <c r="AH864" s="51"/>
    </row>
    <row r="865" ht="13.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  <c r="AH865" s="51"/>
    </row>
    <row r="866" ht="13.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  <c r="AG866" s="51"/>
      <c r="AH866" s="51"/>
    </row>
    <row r="867" ht="13.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  <c r="AG867" s="51"/>
      <c r="AH867" s="51"/>
    </row>
    <row r="868" ht="13.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  <c r="AG868" s="51"/>
      <c r="AH868" s="51"/>
    </row>
    <row r="869" ht="13.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  <c r="AG869" s="51"/>
      <c r="AH869" s="51"/>
    </row>
    <row r="870" ht="13.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  <c r="AG870" s="51"/>
      <c r="AH870" s="51"/>
    </row>
    <row r="871" ht="13.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  <c r="AG871" s="51"/>
      <c r="AH871" s="51"/>
    </row>
    <row r="872" ht="13.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  <c r="AG872" s="51"/>
      <c r="AH872" s="51"/>
    </row>
    <row r="873" ht="13.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  <c r="AG873" s="51"/>
      <c r="AH873" s="51"/>
    </row>
    <row r="874" ht="13.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  <c r="AG874" s="51"/>
      <c r="AH874" s="51"/>
    </row>
    <row r="875" ht="13.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  <c r="AH875" s="51"/>
    </row>
    <row r="876" ht="13.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  <c r="AG876" s="51"/>
      <c r="AH876" s="51"/>
    </row>
    <row r="877" ht="13.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  <c r="AG877" s="51"/>
      <c r="AH877" s="51"/>
    </row>
    <row r="878" ht="13.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  <c r="AG878" s="51"/>
      <c r="AH878" s="51"/>
    </row>
    <row r="879" ht="13.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  <c r="AG879" s="51"/>
      <c r="AH879" s="51"/>
    </row>
    <row r="880" ht="13.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  <c r="AG880" s="51"/>
      <c r="AH880" s="51"/>
    </row>
    <row r="881" ht="13.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  <c r="AG881" s="51"/>
      <c r="AH881" s="51"/>
    </row>
    <row r="882" ht="13.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  <c r="AG882" s="51"/>
      <c r="AH882" s="51"/>
    </row>
    <row r="883" ht="13.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  <c r="AG883" s="51"/>
      <c r="AH883" s="51"/>
    </row>
    <row r="884" ht="13.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</row>
    <row r="885" ht="13.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  <c r="AG885" s="51"/>
      <c r="AH885" s="51"/>
    </row>
    <row r="886" ht="13.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  <c r="AH886" s="51"/>
    </row>
    <row r="887" ht="13.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  <c r="AG887" s="51"/>
      <c r="AH887" s="51"/>
    </row>
    <row r="888" ht="13.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  <c r="AG888" s="51"/>
      <c r="AH888" s="51"/>
    </row>
    <row r="889" ht="13.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  <c r="AG889" s="51"/>
      <c r="AH889" s="51"/>
    </row>
    <row r="890" ht="13.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  <c r="AG890" s="51"/>
      <c r="AH890" s="51"/>
    </row>
    <row r="891" ht="13.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  <c r="AG891" s="51"/>
      <c r="AH891" s="51"/>
    </row>
    <row r="892" ht="13.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</row>
    <row r="893" ht="13.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  <c r="AG893" s="51"/>
      <c r="AH893" s="51"/>
    </row>
    <row r="894" ht="13.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  <c r="AG894" s="51"/>
      <c r="AH894" s="51"/>
    </row>
    <row r="895" ht="13.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  <c r="AH895" s="51"/>
    </row>
    <row r="896" ht="13.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  <c r="AG896" s="51"/>
      <c r="AH896" s="51"/>
    </row>
    <row r="897" ht="13.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  <c r="AH897" s="51"/>
    </row>
    <row r="898" ht="13.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  <c r="AG898" s="51"/>
      <c r="AH898" s="51"/>
    </row>
    <row r="899" ht="13.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  <c r="AG899" s="51"/>
      <c r="AH899" s="51"/>
    </row>
    <row r="900" ht="13.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  <c r="AG900" s="51"/>
      <c r="AH900" s="51"/>
    </row>
    <row r="901" ht="13.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  <c r="AG901" s="51"/>
      <c r="AH901" s="51"/>
    </row>
    <row r="902" ht="13.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  <c r="AG902" s="51"/>
      <c r="AH902" s="51"/>
    </row>
    <row r="903" ht="13.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  <c r="AG903" s="51"/>
      <c r="AH903" s="51"/>
    </row>
    <row r="904" ht="13.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  <c r="AG904" s="51"/>
      <c r="AH904" s="51"/>
    </row>
    <row r="905" ht="13.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  <c r="AG905" s="51"/>
      <c r="AH905" s="51"/>
    </row>
    <row r="906" ht="13.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  <c r="AG906" s="51"/>
      <c r="AH906" s="51"/>
    </row>
    <row r="907" ht="13.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  <c r="AG907" s="51"/>
      <c r="AH907" s="51"/>
    </row>
    <row r="908" ht="13.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  <c r="AG908" s="51"/>
      <c r="AH908" s="51"/>
    </row>
    <row r="909" ht="13.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  <c r="AG909" s="51"/>
      <c r="AH909" s="51"/>
    </row>
    <row r="910" ht="13.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  <c r="AG910" s="51"/>
      <c r="AH910" s="51"/>
    </row>
    <row r="911" ht="13.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  <c r="AG911" s="51"/>
      <c r="AH911" s="51"/>
    </row>
    <row r="912" ht="13.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  <c r="AG912" s="51"/>
      <c r="AH912" s="51"/>
    </row>
    <row r="913" ht="13.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  <c r="AG913" s="51"/>
      <c r="AH913" s="51"/>
    </row>
    <row r="914" ht="13.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  <c r="AG914" s="51"/>
      <c r="AH914" s="51"/>
    </row>
    <row r="915" ht="13.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  <c r="AG915" s="51"/>
      <c r="AH915" s="51"/>
    </row>
    <row r="916" ht="13.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  <c r="AG916" s="51"/>
      <c r="AH916" s="51"/>
    </row>
    <row r="917" ht="13.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  <c r="AG917" s="51"/>
      <c r="AH917" s="51"/>
    </row>
    <row r="918" ht="13.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  <c r="AG918" s="51"/>
      <c r="AH918" s="51"/>
    </row>
    <row r="919" ht="13.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  <c r="AG919" s="51"/>
      <c r="AH919" s="51"/>
    </row>
    <row r="920" ht="13.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  <c r="AG920" s="51"/>
      <c r="AH920" s="51"/>
    </row>
    <row r="921" ht="13.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  <c r="AG921" s="51"/>
      <c r="AH921" s="51"/>
    </row>
    <row r="922" ht="13.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  <c r="AG922" s="51"/>
      <c r="AH922" s="51"/>
    </row>
    <row r="923" ht="13.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  <c r="AG923" s="51"/>
      <c r="AH923" s="51"/>
    </row>
    <row r="924" ht="13.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  <c r="AG924" s="51"/>
      <c r="AH924" s="51"/>
    </row>
    <row r="925" ht="13.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  <c r="AG925" s="51"/>
      <c r="AH925" s="51"/>
    </row>
    <row r="926" ht="13.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  <c r="AG926" s="51"/>
      <c r="AH926" s="51"/>
    </row>
    <row r="927" ht="13.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  <c r="AG927" s="51"/>
      <c r="AH927" s="51"/>
    </row>
    <row r="928" ht="13.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  <c r="AG928" s="51"/>
      <c r="AH928" s="51"/>
    </row>
    <row r="929" ht="13.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  <c r="AG929" s="51"/>
      <c r="AH929" s="51"/>
    </row>
    <row r="930" ht="13.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  <c r="AG930" s="51"/>
      <c r="AH930" s="51"/>
    </row>
    <row r="931" ht="13.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  <c r="AG931" s="51"/>
      <c r="AH931" s="51"/>
    </row>
    <row r="932" ht="13.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  <c r="AG932" s="51"/>
      <c r="AH932" s="51"/>
    </row>
    <row r="933" ht="13.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  <c r="AG933" s="51"/>
      <c r="AH933" s="51"/>
    </row>
    <row r="934" ht="13.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  <c r="AG934" s="51"/>
      <c r="AH934" s="51"/>
    </row>
    <row r="935" ht="13.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  <c r="AG935" s="51"/>
      <c r="AH935" s="51"/>
    </row>
    <row r="936" ht="13.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  <c r="AG936" s="51"/>
      <c r="AH936" s="51"/>
    </row>
    <row r="937" ht="13.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  <c r="AG937" s="51"/>
      <c r="AH937" s="51"/>
    </row>
    <row r="938" ht="13.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  <c r="AG938" s="51"/>
      <c r="AH938" s="51"/>
    </row>
    <row r="939" ht="13.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  <c r="AG939" s="51"/>
      <c r="AH939" s="51"/>
    </row>
    <row r="940" ht="13.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  <c r="AG940" s="51"/>
      <c r="AH940" s="51"/>
    </row>
    <row r="941" ht="13.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  <c r="AG941" s="51"/>
      <c r="AH941" s="51"/>
    </row>
    <row r="942" ht="13.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  <c r="AG942" s="51"/>
      <c r="AH942" s="51"/>
    </row>
    <row r="943" ht="13.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  <c r="AG943" s="51"/>
      <c r="AH943" s="51"/>
    </row>
    <row r="944" ht="13.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  <c r="AG944" s="51"/>
      <c r="AH944" s="51"/>
    </row>
    <row r="945" ht="13.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  <c r="AG945" s="51"/>
      <c r="AH945" s="51"/>
    </row>
    <row r="946" ht="13.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  <c r="AG946" s="51"/>
      <c r="AH946" s="51"/>
    </row>
    <row r="947" ht="13.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  <c r="AG947" s="51"/>
      <c r="AH947" s="51"/>
    </row>
    <row r="948" ht="13.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  <c r="AG948" s="51"/>
      <c r="AH948" s="51"/>
    </row>
    <row r="949" ht="13.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  <c r="AG949" s="51"/>
      <c r="AH949" s="51"/>
    </row>
    <row r="950" ht="13.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  <c r="AG950" s="51"/>
      <c r="AH950" s="51"/>
    </row>
    <row r="951" ht="13.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  <c r="AG951" s="51"/>
      <c r="AH951" s="51"/>
    </row>
    <row r="952" ht="13.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  <c r="AG952" s="51"/>
      <c r="AH952" s="51"/>
    </row>
    <row r="953" ht="13.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  <c r="AG953" s="51"/>
      <c r="AH953" s="51"/>
    </row>
    <row r="954" ht="13.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  <c r="AG954" s="51"/>
      <c r="AH954" s="51"/>
    </row>
    <row r="955" ht="13.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  <c r="AG955" s="51"/>
      <c r="AH955" s="51"/>
    </row>
    <row r="956" ht="13.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  <c r="AG956" s="51"/>
      <c r="AH956" s="51"/>
    </row>
    <row r="957" ht="13.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  <c r="AG957" s="51"/>
      <c r="AH957" s="51"/>
    </row>
    <row r="958" ht="13.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  <c r="AG958" s="51"/>
      <c r="AH958" s="51"/>
    </row>
    <row r="959" ht="13.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  <c r="AG959" s="51"/>
      <c r="AH959" s="51"/>
    </row>
    <row r="960" ht="13.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  <c r="AG960" s="51"/>
      <c r="AH960" s="51"/>
    </row>
    <row r="961" ht="13.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  <c r="AG961" s="51"/>
      <c r="AH961" s="51"/>
    </row>
    <row r="962" ht="13.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  <c r="AG962" s="51"/>
      <c r="AH962" s="51"/>
    </row>
    <row r="963" ht="13.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  <c r="AG963" s="51"/>
      <c r="AH963" s="51"/>
    </row>
    <row r="964" ht="13.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  <c r="AG964" s="51"/>
      <c r="AH964" s="51"/>
    </row>
    <row r="965" ht="13.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  <c r="AG965" s="51"/>
      <c r="AH965" s="51"/>
    </row>
    <row r="966" ht="13.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  <c r="AG966" s="51"/>
      <c r="AH966" s="51"/>
    </row>
    <row r="967" ht="13.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  <c r="AG967" s="51"/>
      <c r="AH967" s="51"/>
    </row>
    <row r="968" ht="13.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  <c r="AG968" s="51"/>
      <c r="AH968" s="51"/>
    </row>
    <row r="969" ht="13.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  <c r="AG969" s="51"/>
      <c r="AH969" s="51"/>
    </row>
    <row r="970" ht="13.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  <c r="AG970" s="51"/>
      <c r="AH970" s="51"/>
    </row>
    <row r="971" ht="13.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  <c r="AG971" s="51"/>
      <c r="AH971" s="51"/>
    </row>
    <row r="972" ht="13.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  <c r="AG972" s="51"/>
      <c r="AH972" s="51"/>
    </row>
    <row r="973" ht="13.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  <c r="AH973" s="51"/>
    </row>
    <row r="974" ht="13.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  <c r="AG974" s="51"/>
      <c r="AH974" s="51"/>
    </row>
    <row r="975" ht="13.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  <c r="AG975" s="51"/>
      <c r="AH975" s="51"/>
    </row>
    <row r="976" ht="13.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  <c r="AG976" s="51"/>
      <c r="AH976" s="51"/>
    </row>
    <row r="977" ht="13.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  <c r="AG977" s="51"/>
      <c r="AH977" s="51"/>
    </row>
    <row r="978" ht="13.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  <c r="AG978" s="51"/>
      <c r="AH978" s="51"/>
    </row>
  </sheetData>
  <mergeCells count="117">
    <mergeCell ref="AB5:AB6"/>
    <mergeCell ref="AC5:AC6"/>
    <mergeCell ref="S5:U6"/>
    <mergeCell ref="V5:V6"/>
    <mergeCell ref="W5:W6"/>
    <mergeCell ref="X5:X6"/>
    <mergeCell ref="Y5:Y6"/>
    <mergeCell ref="Z5:Z6"/>
    <mergeCell ref="AA5:AA6"/>
    <mergeCell ref="C7:E7"/>
    <mergeCell ref="F7:K8"/>
    <mergeCell ref="C8:E8"/>
    <mergeCell ref="Q7:Q8"/>
    <mergeCell ref="S7:U7"/>
    <mergeCell ref="S8:U8"/>
    <mergeCell ref="C9:E9"/>
    <mergeCell ref="F9:Q10"/>
    <mergeCell ref="C10:E10"/>
    <mergeCell ref="S9:U9"/>
    <mergeCell ref="S10:U10"/>
    <mergeCell ref="C11:E12"/>
    <mergeCell ref="F11:K12"/>
    <mergeCell ref="B13:E13"/>
    <mergeCell ref="B14:C14"/>
    <mergeCell ref="F14:G14"/>
    <mergeCell ref="L11:L12"/>
    <mergeCell ref="M11:Q12"/>
    <mergeCell ref="S11:U12"/>
    <mergeCell ref="F13:R13"/>
    <mergeCell ref="R3:V3"/>
    <mergeCell ref="R4:V4"/>
    <mergeCell ref="B5:B12"/>
    <mergeCell ref="C5:E6"/>
    <mergeCell ref="F5:F6"/>
    <mergeCell ref="G5:G6"/>
    <mergeCell ref="H5:H6"/>
    <mergeCell ref="V11:AA12"/>
    <mergeCell ref="AB11:AB12"/>
    <mergeCell ref="AC11:AG12"/>
    <mergeCell ref="S13:AB13"/>
    <mergeCell ref="AC13:AG13"/>
    <mergeCell ref="AC14:AG15"/>
    <mergeCell ref="B15:C15"/>
    <mergeCell ref="F15:G15"/>
    <mergeCell ref="J16:M16"/>
    <mergeCell ref="N16:O16"/>
    <mergeCell ref="P16:T16"/>
    <mergeCell ref="U16:Z16"/>
    <mergeCell ref="AA16:AE16"/>
    <mergeCell ref="AF16:AG16"/>
    <mergeCell ref="D16:I16"/>
    <mergeCell ref="J17:M17"/>
    <mergeCell ref="N17:O17"/>
    <mergeCell ref="P17:T17"/>
    <mergeCell ref="U17:Z17"/>
    <mergeCell ref="AA17:AE17"/>
    <mergeCell ref="AF17:AG17"/>
    <mergeCell ref="D17:I17"/>
    <mergeCell ref="J18:M18"/>
    <mergeCell ref="N18:O18"/>
    <mergeCell ref="P18:T18"/>
    <mergeCell ref="U18:Z18"/>
    <mergeCell ref="AA18:AE18"/>
    <mergeCell ref="AF18:AG18"/>
    <mergeCell ref="D18:I18"/>
    <mergeCell ref="J19:M19"/>
    <mergeCell ref="N19:O19"/>
    <mergeCell ref="P19:T19"/>
    <mergeCell ref="U19:Z19"/>
    <mergeCell ref="AA19:AE19"/>
    <mergeCell ref="AF19:AG19"/>
    <mergeCell ref="D20:I20"/>
    <mergeCell ref="B21:F21"/>
    <mergeCell ref="B22:F22"/>
    <mergeCell ref="AA20:AE20"/>
    <mergeCell ref="AA21:AD22"/>
    <mergeCell ref="AE21:AF22"/>
    <mergeCell ref="AG21:AG22"/>
    <mergeCell ref="X23:AG23"/>
    <mergeCell ref="S24:AG24"/>
    <mergeCell ref="D19:I19"/>
    <mergeCell ref="J20:M20"/>
    <mergeCell ref="N20:O20"/>
    <mergeCell ref="P20:T20"/>
    <mergeCell ref="U20:Z20"/>
    <mergeCell ref="AF20:AG20"/>
    <mergeCell ref="G21:Z21"/>
    <mergeCell ref="G22:Z22"/>
    <mergeCell ref="B1:AG1"/>
    <mergeCell ref="W2:AB2"/>
    <mergeCell ref="AC2:AG2"/>
    <mergeCell ref="B3:P4"/>
    <mergeCell ref="Q3:Q4"/>
    <mergeCell ref="W3:W4"/>
    <mergeCell ref="X3:AA3"/>
    <mergeCell ref="X4:AA4"/>
    <mergeCell ref="I5:I6"/>
    <mergeCell ref="J5:J6"/>
    <mergeCell ref="K5:K6"/>
    <mergeCell ref="L5:L6"/>
    <mergeCell ref="M5:M6"/>
    <mergeCell ref="N5:N6"/>
    <mergeCell ref="O5:O6"/>
    <mergeCell ref="P5:P6"/>
    <mergeCell ref="AD5:AD6"/>
    <mergeCell ref="AE5:AE6"/>
    <mergeCell ref="AF5:AF6"/>
    <mergeCell ref="AG5:AG6"/>
    <mergeCell ref="Q5:Q6"/>
    <mergeCell ref="R5:R12"/>
    <mergeCell ref="L7:L8"/>
    <mergeCell ref="M7:P8"/>
    <mergeCell ref="V7:AA8"/>
    <mergeCell ref="AB7:AB8"/>
    <mergeCell ref="AC7:AF8"/>
    <mergeCell ref="AG7:AG8"/>
    <mergeCell ref="V9:AG10"/>
  </mergeCells>
  <printOptions horizontalCentered="1"/>
  <pageMargins bottom="0.75" footer="0.0" header="0.0" left="0.7" right="0.7" top="0.75"/>
  <pageSetup fitToHeight="0" paperSize="9" orientation="portrait"/>
  <drawing r:id="rId1"/>
</worksheet>
</file>